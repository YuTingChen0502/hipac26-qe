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總覽" sheetId="1" state="visible" r:id="rId1"/>
    <sheet name="01_G1_vs_G4X" sheetId="2" state="visible" r:id="rId2"/>
    <sheet name="02_TypeA" sheetId="3" state="visible" r:id="rId3"/>
    <sheet name="03_TypeB" sheetId="4" state="visible" r:id="rId4"/>
    <sheet name="04_Profiling" sheetId="5" state="visible" r:id="rId5"/>
    <sheet name="05_Incidents" sheetId="6" state="visible" r:id="rId6"/>
    <sheet name="06_Evidence" sheetId="7" state="visible" r:id="rId7"/>
  </sheets>
  <definedNames>
    <definedName name="_xlnm._FilterDatabase" localSheetId="0" hidden="1">'00_總覽'!$A$4:$D$11</definedName>
    <definedName name="_xlnm._FilterDatabase" localSheetId="1" hidden="1">'01_G1_vs_G4X'!$A$4:$L$9</definedName>
    <definedName name="_xlnm._FilterDatabase" localSheetId="2" hidden="1">'02_TypeA'!$A$4:$AA$13</definedName>
    <definedName name="_xlnm._FilterDatabase" localSheetId="3" hidden="1">'03_TypeB'!$A$4:$AF$13</definedName>
    <definedName name="_xlnm._FilterDatabase" localSheetId="5" hidden="1">'05_Incidents'!$A$4:$K$12</definedName>
    <definedName name="_xlnm._FilterDatabase" localSheetId="6" hidden="1">'06_Evidence'!$A$4:$G$12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00x"/>
    <numFmt numFmtId="165" formatCode="0.0%"/>
    <numFmt numFmtId="166" formatCode="0.000%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0F6B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B1 candidate median wall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'03_TypeB'!R4</f>
            </strRef>
          </tx>
          <spPr>
            <a:ln>
              <a:prstDash val="solid"/>
            </a:ln>
          </spPr>
          <cat>
            <numRef>
              <f>'03_TypeB'!$D$5:$D$13</f>
            </numRef>
          </cat>
          <val>
            <numRef>
              <f>'03_TypeB'!$R$5:$R$13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Experiment candidate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Median wall time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58" customWidth="1" min="2" max="2"/>
    <col width="25" customWidth="1" min="3" max="3"/>
    <col width="55" customWidth="1" min="4" max="4"/>
  </cols>
  <sheetData>
    <row r="1" ht="28" customHeight="1">
      <c r="A1" s="1" t="inlineStr">
        <is>
          <t>HiPAC 2026 Quantum ESPRESSO 實驗總覽</t>
        </is>
      </c>
    </row>
    <row r="2" ht="34" customHeight="1">
      <c r="A2" s="2" t="inlineStr">
        <is>
          <t>資料截點 2026-07-29。Excel 是 reporting layer；raw output、mapping、bundle、receipt 與 SHA manifest 仍是 source of truth。</t>
        </is>
      </c>
    </row>
    <row r="3"/>
    <row r="4" ht="34" customHeight="1">
      <c r="A4" s="3" t="inlineStr">
        <is>
          <t>項目</t>
        </is>
      </c>
      <c r="B4" s="3" t="inlineStr">
        <is>
          <t>結果</t>
        </is>
      </c>
      <c r="C4" s="3" t="inlineStr">
        <is>
          <t>證據層級</t>
        </is>
      </c>
      <c r="D4" s="3" t="inlineStr">
        <is>
          <t>備註</t>
        </is>
      </c>
    </row>
    <row r="5">
      <c r="A5" s="4" t="inlineStr">
        <is>
          <t>Scientific source HEAD</t>
        </is>
      </c>
      <c r="B5" s="4" t="inlineStr">
        <is>
          <t>71edc1780c145a1b0642848794914689ea146eb5</t>
        </is>
      </c>
      <c r="C5" s="4" t="inlineStr">
        <is>
          <t>repository checkpoint</t>
        </is>
      </c>
      <c r="D5" s="4" t="inlineStr">
        <is>
          <t>handoff/review commits may be newer</t>
        </is>
      </c>
    </row>
    <row r="6">
      <c r="A6" s="4" t="inlineStr">
        <is>
          <t>A1 freeze</t>
        </is>
      </c>
      <c r="B6" s="4" t="inlineStr">
        <is>
          <t>G4X; nk=7; 14 ranks/GPUs; 2 nodes; OMP=12; map8x6</t>
        </is>
      </c>
      <c r="C6" s="4" t="inlineStr">
        <is>
          <t>case-level frozen</t>
        </is>
      </c>
      <c r="D6" s="4" t="inlineStr">
        <is>
          <t>A1-au111-manyk only</t>
        </is>
      </c>
    </row>
    <row r="7">
      <c r="A7" s="4" t="inlineStr">
        <is>
          <t>B1 freeze</t>
        </is>
      </c>
      <c r="B7" s="4" t="inlineStr">
        <is>
          <t>FROZEN_R8_ONE_NODE</t>
        </is>
      </c>
      <c r="C7" s="4" t="inlineStr">
        <is>
          <t>case-level frozen</t>
        </is>
      </c>
      <c r="D7" s="4" t="inlineStr">
        <is>
          <t>G4X; nk=1; 8 ranks/GPUs; 1 node; OMP=12</t>
        </is>
      </c>
    </row>
    <row r="8">
      <c r="A8" s="4" t="inlineStr">
        <is>
          <t>Accepted B1 QE trials</t>
        </is>
      </c>
      <c r="B8" s="4" t="n">
        <v>39</v>
      </c>
      <c r="C8" s="4" t="inlineStr">
        <is>
          <t>raw verification</t>
        </is>
      </c>
      <c r="D8" s="4" t="inlineStr">
        <is>
          <t>e001 9 + e002 10 + e003 10 + e004 10</t>
        </is>
      </c>
    </row>
    <row r="9">
      <c r="A9" s="4" t="inlineStr">
        <is>
          <t>B1 single-node decision</t>
        </is>
      </c>
      <c r="B9" s="4" t="inlineStr">
        <is>
          <t>r8 83.130 s vs r6 104.295 s</t>
        </is>
      </c>
      <c r="C9" s="4" t="inlineStr">
        <is>
          <t>e002+e003</t>
        </is>
      </c>
      <c r="D9" s="4" t="inlineStr">
        <is>
          <t>r8 faster by 20.293%; paired wins 10/10</t>
        </is>
      </c>
    </row>
    <row r="10">
      <c r="A10" s="4" t="inlineStr">
        <is>
          <t>B1 node boundary</t>
        </is>
      </c>
      <c r="B10" s="4" t="inlineStr">
        <is>
          <t>r8 87.45 s vs r16 110.45 s</t>
        </is>
      </c>
      <c r="C10" s="4" t="inlineStr">
        <is>
          <t>e004</t>
        </is>
      </c>
      <c r="D10" s="4" t="inlineStr">
        <is>
          <t>r8 faster by 20.824%; paired wins 5/5</t>
        </is>
      </c>
    </row>
    <row r="11">
      <c r="A11" s="4" t="inlineStr">
        <is>
          <t>Next mainline</t>
        </is>
      </c>
      <c r="B11" s="4" t="inlineStr">
        <is>
          <t>Repeated G1/G4X confirmation and official-scale transfer</t>
        </is>
      </c>
      <c r="C11" s="4" t="inlineStr">
        <is>
          <t>planned</t>
        </is>
      </c>
      <c r="D11" s="4" t="inlineStr">
        <is>
          <t>No fixed B1 e005</t>
        </is>
      </c>
    </row>
  </sheetData>
  <autoFilter ref="A4:D11"/>
  <mergeCells count="2">
    <mergeCell ref="A1:D1"/>
    <mergeCell ref="A2:D2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24" customWidth="1" min="3" max="3"/>
    <col width="12" customWidth="1" min="4" max="4"/>
    <col width="14" customWidth="1" min="5" max="5"/>
    <col width="12" customWidth="1" min="6" max="6"/>
    <col width="14" customWidth="1" min="7" max="7"/>
    <col width="16" customWidth="1" min="8" max="8"/>
    <col width="18" customWidth="1" min="9" max="9"/>
    <col width="29" customWidth="1" min="10" max="10"/>
    <col width="23" customWidth="1" min="11" max="11"/>
    <col width="26" customWidth="1" min="12" max="12"/>
  </cols>
  <sheetData>
    <row r="1" ht="28" customHeight="1">
      <c r="A1" s="1" t="inlineStr">
        <is>
          <t>G1 vs G4X Runtime Comparison</t>
        </is>
      </c>
    </row>
    <row r="2" ht="34" customHeight="1">
      <c r="A2" s="2" t="inlineStr">
        <is>
          <t>Unprofiled binaries；目前是 single-run observed ratio，不是 repeated formal benchmark。</t>
        </is>
      </c>
    </row>
    <row r="3"/>
    <row r="4" ht="34" customHeight="1">
      <c r="A4" s="3" t="inlineStr">
        <is>
          <t>Type</t>
        </is>
      </c>
      <c r="B4" s="3" t="inlineStr">
        <is>
          <t>Case</t>
        </is>
      </c>
      <c r="C4" s="3" t="inlineStr">
        <is>
          <t>Scientific State</t>
        </is>
      </c>
      <c r="D4" s="3" t="inlineStr">
        <is>
          <t>G1 Job</t>
        </is>
      </c>
      <c r="E4" s="3" t="inlineStr">
        <is>
          <t>G1 Wall (s)</t>
        </is>
      </c>
      <c r="F4" s="3" t="inlineStr">
        <is>
          <t>G4X Job</t>
        </is>
      </c>
      <c r="G4" s="3" t="inlineStr">
        <is>
          <t>G4X Wall (s)</t>
        </is>
      </c>
      <c r="H4" s="3" t="inlineStr">
        <is>
          <t>G1/G4X Ratio</t>
        </is>
      </c>
      <c r="I4" s="3" t="inlineStr">
        <is>
          <t>G4X Wall Reduction</t>
        </is>
      </c>
      <c r="J4" s="3" t="inlineStr">
        <is>
          <t>Numerical / Class Check</t>
        </is>
      </c>
      <c r="K4" s="3" t="inlineStr">
        <is>
          <t>Evidence Level</t>
        </is>
      </c>
      <c r="L4" s="3" t="inlineStr">
        <is>
          <t>Conclusion</t>
        </is>
      </c>
    </row>
    <row r="5">
      <c r="A5" s="4" t="inlineStr">
        <is>
          <t>A</t>
        </is>
      </c>
      <c r="B5" s="4" t="inlineStr">
        <is>
          <t>typeA-au111-manyk</t>
        </is>
      </c>
      <c r="C5" s="4" t="inlineStr">
        <is>
          <t>strict converged</t>
        </is>
      </c>
      <c r="D5" s="4" t="n">
        <v>198603</v>
      </c>
      <c r="E5" s="4" t="n">
        <v>32.09</v>
      </c>
      <c r="F5" s="4" t="n">
        <v>198472</v>
      </c>
      <c r="G5" s="4" t="n">
        <v>21.22</v>
      </c>
      <c r="H5" s="5">
        <f>E5/G5</f>
        <v/>
      </c>
      <c r="I5" s="6">
        <f>1-G5/E5</f>
        <v/>
      </c>
      <c r="J5" s="4" t="inlineStr">
        <is>
          <t>ΔE=0; 15 iterations</t>
        </is>
      </c>
      <c r="K5" s="4" t="inlineStr">
        <is>
          <t>single-run observed</t>
        </is>
      </c>
      <c r="L5" s="4" t="inlineStr">
        <is>
          <t>G4X observed faster</t>
        </is>
      </c>
    </row>
    <row r="6">
      <c r="A6" s="4" t="inlineStr">
        <is>
          <t>B</t>
        </is>
      </c>
      <c r="B6" s="4" t="inlineStr">
        <is>
          <t>typeB-si1000-gamma</t>
        </is>
      </c>
      <c r="C6" s="4" t="inlineStr">
        <is>
          <t>strict converged</t>
        </is>
      </c>
      <c r="D6" s="4" t="n">
        <v>198604</v>
      </c>
      <c r="E6" s="4" t="n">
        <v>433.87</v>
      </c>
      <c r="F6" s="4" t="n">
        <v>198504</v>
      </c>
      <c r="G6" s="4" t="n">
        <v>117.99</v>
      </c>
      <c r="H6" s="5">
        <f>E6/G6</f>
        <v/>
      </c>
      <c r="I6" s="6">
        <f>1-G6/E6</f>
        <v/>
      </c>
      <c r="J6" s="4" t="inlineStr">
        <is>
          <t>ΔE=0; 20 iterations</t>
        </is>
      </c>
      <c r="K6" s="4" t="inlineStr">
        <is>
          <t>single-run observed</t>
        </is>
      </c>
      <c r="L6" s="4" t="inlineStr">
        <is>
          <t>G4X observed faster</t>
        </is>
      </c>
    </row>
    <row r="7">
      <c r="A7" s="4" t="inlineStr">
        <is>
          <t>D</t>
        </is>
      </c>
      <c r="B7" s="4" t="inlineStr">
        <is>
          <t>typeD-cnt10por8</t>
        </is>
      </c>
      <c r="C7" s="4" t="inlineStr">
        <is>
          <t>forced-accept bounded</t>
        </is>
      </c>
      <c r="D7" s="4" t="n">
        <v>198605</v>
      </c>
      <c r="E7" s="4" t="n">
        <v>152.12</v>
      </c>
      <c r="F7" s="4" t="n">
        <v>198474</v>
      </c>
      <c r="G7" s="4" t="n">
        <v>142.71</v>
      </c>
      <c r="H7" s="5">
        <f>E7/G7</f>
        <v/>
      </c>
      <c r="I7" s="6">
        <f>1-G7/E7</f>
        <v/>
      </c>
      <c r="J7" s="4" t="inlineStr">
        <is>
          <t>same forced-accept class</t>
        </is>
      </c>
      <c r="K7" s="4" t="inlineStr">
        <is>
          <t>single-run observed</t>
        </is>
      </c>
      <c r="L7" s="4" t="inlineStr">
        <is>
          <t>small observed gain</t>
        </is>
      </c>
    </row>
    <row r="8">
      <c r="A8" s="4" t="inlineStr">
        <is>
          <t>E</t>
        </is>
      </c>
      <c r="B8" s="4" t="inlineStr">
        <is>
          <t>typeE-psiwat</t>
        </is>
      </c>
      <c r="C8" s="4" t="inlineStr">
        <is>
          <t>bounded not-converged</t>
        </is>
      </c>
      <c r="D8" s="4" t="n">
        <v>198606</v>
      </c>
      <c r="E8" s="4" t="n">
        <v>107.59</v>
      </c>
      <c r="F8" s="4" t="n">
        <v>198475</v>
      </c>
      <c r="G8" s="4" t="n">
        <v>36.03</v>
      </c>
      <c r="H8" s="5">
        <f>E8/G8</f>
        <v/>
      </c>
      <c r="I8" s="6">
        <f>1-G8/E8</f>
        <v/>
      </c>
      <c r="J8" s="4" t="inlineStr">
        <is>
          <t>same bounded class</t>
        </is>
      </c>
      <c r="K8" s="4" t="inlineStr">
        <is>
          <t>single-run observed</t>
        </is>
      </c>
      <c r="L8" s="4" t="inlineStr">
        <is>
          <t>G4X observed faster</t>
        </is>
      </c>
    </row>
    <row r="9">
      <c r="A9" s="4" t="inlineStr">
        <is>
          <t>F</t>
        </is>
      </c>
      <c r="B9" s="4" t="inlineStr">
        <is>
          <t>typeF-psiwat-relax-derived</t>
        </is>
      </c>
      <c r="C9" s="4" t="inlineStr">
        <is>
          <t>bounded not-converged</t>
        </is>
      </c>
      <c r="D9" s="4" t="n">
        <v>198607</v>
      </c>
      <c r="E9" s="4" t="n">
        <v>90.84</v>
      </c>
      <c r="F9" s="4" t="n">
        <v>198476</v>
      </c>
      <c r="G9" s="4" t="n">
        <v>36.21</v>
      </c>
      <c r="H9" s="5">
        <f>E9/G9</f>
        <v/>
      </c>
      <c r="I9" s="6">
        <f>1-G9/E9</f>
        <v/>
      </c>
      <c r="J9" s="4" t="inlineStr">
        <is>
          <t>same bounded class</t>
        </is>
      </c>
      <c r="K9" s="4" t="inlineStr">
        <is>
          <t>single-run observed</t>
        </is>
      </c>
      <c r="L9" s="4" t="inlineStr">
        <is>
          <t>G4X observed faster</t>
        </is>
      </c>
    </row>
  </sheetData>
  <autoFilter ref="A4:L9"/>
  <mergeCells count="2">
    <mergeCell ref="A2:L2"/>
    <mergeCell ref="A1:L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2" customWidth="1" min="3" max="3"/>
    <col width="15" customWidth="1" min="4" max="4"/>
    <col width="28" customWidth="1" min="5" max="5"/>
    <col width="7" customWidth="1" min="6" max="6"/>
    <col width="9" customWidth="1" min="7" max="7"/>
    <col width="12" customWidth="1" min="8" max="8"/>
    <col width="8" customWidth="1" min="9" max="9"/>
    <col width="8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2" customWidth="1" min="19" max="19"/>
    <col width="10" customWidth="1" min="20" max="20"/>
    <col width="15" customWidth="1" min="21" max="21"/>
    <col width="16" customWidth="1" min="22" max="22"/>
    <col width="12" customWidth="1" min="23" max="23"/>
    <col width="13" customWidth="1" min="24" max="24"/>
    <col width="13" customWidth="1" min="25" max="25"/>
    <col width="25" customWidth="1" min="26" max="26"/>
    <col width="65" customWidth="1" min="27" max="27"/>
  </cols>
  <sheetData>
    <row r="1" ht="28" customHeight="1">
      <c r="A1" s="1" t="inlineStr">
        <is>
          <t>Type A Optimization — A1-au111-manyk</t>
        </is>
      </c>
    </row>
    <row r="2" ht="34" customHeight="1">
      <c r="A2" s="2" t="inlineStr">
        <is>
          <t>一列代表一個 candidate；derived metrics 以 Excel formula 計算。</t>
        </is>
      </c>
    </row>
    <row r="3"/>
    <row r="4" ht="34" customHeight="1">
      <c r="A4" s="3" t="inlineStr">
        <is>
          <t>Round</t>
        </is>
      </c>
      <c r="B4" s="3" t="inlineStr">
        <is>
          <t>Job</t>
        </is>
      </c>
      <c r="C4" s="3" t="inlineStr">
        <is>
          <t>Objective</t>
        </is>
      </c>
      <c r="D4" s="3" t="inlineStr">
        <is>
          <t>Candidate</t>
        </is>
      </c>
      <c r="E4" s="3" t="inlineStr">
        <is>
          <t>Key Difference</t>
        </is>
      </c>
      <c r="F4" s="3" t="inlineStr">
        <is>
          <t>nk</t>
        </is>
      </c>
      <c r="G4" s="3" t="inlineStr">
        <is>
          <t>MPI</t>
        </is>
      </c>
      <c r="H4" s="3" t="inlineStr">
        <is>
          <t>Active GPUs</t>
        </is>
      </c>
      <c r="I4" s="3" t="inlineStr">
        <is>
          <t>Nodes</t>
        </is>
      </c>
      <c r="J4" s="3" t="inlineStr">
        <is>
          <t>OMP</t>
        </is>
      </c>
      <c r="K4" s="3" t="inlineStr">
        <is>
          <t>Ranks / Pool</t>
        </is>
      </c>
      <c r="L4" s="3" t="inlineStr">
        <is>
          <t>Layout</t>
        </is>
      </c>
      <c r="M4" s="3" t="inlineStr">
        <is>
          <t>Run 1</t>
        </is>
      </c>
      <c r="N4" s="3" t="inlineStr">
        <is>
          <t>Run 2</t>
        </is>
      </c>
      <c r="O4" s="3" t="inlineStr">
        <is>
          <t>Run 3</t>
        </is>
      </c>
      <c r="P4" s="3" t="inlineStr">
        <is>
          <t>Run 4</t>
        </is>
      </c>
      <c r="Q4" s="3" t="inlineStr">
        <is>
          <t>Run 5</t>
        </is>
      </c>
      <c r="R4" s="3" t="inlineStr">
        <is>
          <t>Median</t>
        </is>
      </c>
      <c r="S4" s="3" t="inlineStr">
        <is>
          <t>Mean</t>
        </is>
      </c>
      <c r="T4" s="3" t="inlineStr">
        <is>
          <t>CV</t>
        </is>
      </c>
      <c r="U4" s="3" t="inlineStr">
        <is>
          <t>Baseline</t>
        </is>
      </c>
      <c r="V4" s="3" t="inlineStr">
        <is>
          <t>Baseline Median</t>
        </is>
      </c>
      <c r="W4" s="3" t="inlineStr">
        <is>
          <t>Ratio</t>
        </is>
      </c>
      <c r="X4" s="3" t="inlineStr">
        <is>
          <t>Improvement</t>
        </is>
      </c>
      <c r="Y4" s="3" t="inlineStr">
        <is>
          <t>Status</t>
        </is>
      </c>
      <c r="Z4" s="3" t="inlineStr">
        <is>
          <t>Conclusion</t>
        </is>
      </c>
      <c r="AA4" s="3" t="inlineStr">
        <is>
          <t>Evidence</t>
        </is>
      </c>
    </row>
    <row r="5">
      <c r="A5" s="4" t="inlineStr">
        <is>
          <t>e001</t>
        </is>
      </c>
      <c r="B5" s="4" t="n">
        <v>200732</v>
      </c>
      <c r="C5" s="4" t="inlineStr">
        <is>
          <t>npool screen</t>
        </is>
      </c>
      <c r="D5" s="4" t="inlineStr">
        <is>
          <t>nk1</t>
        </is>
      </c>
      <c r="E5" s="4" t="inlineStr">
        <is>
          <t>one pool</t>
        </is>
      </c>
      <c r="F5" s="4" t="n">
        <v>1</v>
      </c>
      <c r="G5" s="4" t="n">
        <v>14</v>
      </c>
      <c r="H5" s="4" t="n">
        <v>14</v>
      </c>
      <c r="I5" s="4" t="n">
        <v>2</v>
      </c>
      <c r="J5" s="4" t="n">
        <v>12</v>
      </c>
      <c r="K5" s="4" t="n">
        <v>14</v>
      </c>
      <c r="L5" s="4" t="inlineStr">
        <is>
          <t>7+7</t>
        </is>
      </c>
      <c r="M5" s="4" t="n">
        <v>66.39</v>
      </c>
      <c r="N5" s="4" t="n">
        <v>67.56999999999999</v>
      </c>
      <c r="O5" s="4" t="n">
        <v>66.92</v>
      </c>
      <c r="P5" s="4" t="n"/>
      <c r="Q5" s="4" t="n"/>
      <c r="R5" s="4">
        <f>IF(COUNT(M5:Q5)=0,"",MEDIAN(M5:Q5))</f>
        <v/>
      </c>
      <c r="S5" s="4">
        <f>IF(COUNT(M5:Q5)=0,"",AVERAGE(M5:Q5))</f>
        <v/>
      </c>
      <c r="T5" s="7">
        <f>IF(COUNT(M5:Q5)&lt;2,"",STDEV.S(M5:Q5)/S5)</f>
        <v/>
      </c>
      <c r="U5" s="4" t="inlineStr">
        <is>
          <t>nk1</t>
        </is>
      </c>
      <c r="V5" s="4" t="n">
        <v>66.92</v>
      </c>
      <c r="W5" s="5">
        <f>IFERROR(R5/V5,"")</f>
        <v/>
      </c>
      <c r="X5" s="7">
        <f>IF(W5="","",1-W5)</f>
        <v/>
      </c>
      <c r="Y5" s="4" t="inlineStr">
        <is>
          <t>RECOVERED</t>
        </is>
      </c>
      <c r="Z5" s="4" t="inlineStr">
        <is>
          <t>Pool baseline</t>
        </is>
      </c>
      <c r="AA5" s="4" t="inlineStr">
        <is>
          <t>historical Stage 1</t>
        </is>
      </c>
    </row>
    <row r="6">
      <c r="A6" s="4" t="inlineStr">
        <is>
          <t>e001</t>
        </is>
      </c>
      <c r="B6" s="4" t="n">
        <v>200732</v>
      </c>
      <c r="C6" s="4" t="inlineStr">
        <is>
          <t>npool screen</t>
        </is>
      </c>
      <c r="D6" s="4" t="inlineStr">
        <is>
          <t>nk2</t>
        </is>
      </c>
      <c r="E6" s="4" t="inlineStr">
        <is>
          <t>two pools</t>
        </is>
      </c>
      <c r="F6" s="4" t="n">
        <v>2</v>
      </c>
      <c r="G6" s="4" t="n">
        <v>14</v>
      </c>
      <c r="H6" s="4" t="n">
        <v>14</v>
      </c>
      <c r="I6" s="4" t="n">
        <v>2</v>
      </c>
      <c r="J6" s="4" t="n">
        <v>12</v>
      </c>
      <c r="K6" s="4" t="n">
        <v>7</v>
      </c>
      <c r="L6" s="4" t="inlineStr">
        <is>
          <t>7+7</t>
        </is>
      </c>
      <c r="M6" s="4" t="n">
        <v>37.85</v>
      </c>
      <c r="N6" s="4" t="n">
        <v>40.35</v>
      </c>
      <c r="O6" s="4" t="n">
        <v>38.06</v>
      </c>
      <c r="P6" s="4" t="n"/>
      <c r="Q6" s="4" t="n"/>
      <c r="R6" s="4">
        <f>IF(COUNT(M6:Q6)=0,"",MEDIAN(M6:Q6))</f>
        <v/>
      </c>
      <c r="S6" s="4">
        <f>IF(COUNT(M6:Q6)=0,"",AVERAGE(M6:Q6))</f>
        <v/>
      </c>
      <c r="T6" s="7">
        <f>IF(COUNT(M6:Q6)&lt;2,"",STDEV.S(M6:Q6)/S6)</f>
        <v/>
      </c>
      <c r="U6" s="4" t="inlineStr">
        <is>
          <t>nk1</t>
        </is>
      </c>
      <c r="V6" s="4" t="n">
        <v>66.92</v>
      </c>
      <c r="W6" s="5">
        <f>IFERROR(R6/V6,"")</f>
        <v/>
      </c>
      <c r="X6" s="7">
        <f>IF(W6="","",1-W6)</f>
        <v/>
      </c>
      <c r="Y6" s="4" t="inlineStr">
        <is>
          <t>RECOVERED</t>
        </is>
      </c>
      <c r="Z6" s="4" t="inlineStr">
        <is>
          <t>Faster than nk1</t>
        </is>
      </c>
      <c r="AA6" s="4" t="inlineStr">
        <is>
          <t>historical Stage 1</t>
        </is>
      </c>
    </row>
    <row r="7">
      <c r="A7" s="4" t="inlineStr">
        <is>
          <t>e001</t>
        </is>
      </c>
      <c r="B7" s="4" t="n">
        <v>200732</v>
      </c>
      <c r="C7" s="4" t="inlineStr">
        <is>
          <t>npool screen</t>
        </is>
      </c>
      <c r="D7" s="4" t="inlineStr">
        <is>
          <t>nk7</t>
        </is>
      </c>
      <c r="E7" s="4" t="inlineStr">
        <is>
          <t>seven pools</t>
        </is>
      </c>
      <c r="F7" s="4" t="n">
        <v>7</v>
      </c>
      <c r="G7" s="4" t="n">
        <v>14</v>
      </c>
      <c r="H7" s="4" t="n">
        <v>14</v>
      </c>
      <c r="I7" s="4" t="n">
        <v>2</v>
      </c>
      <c r="J7" s="4" t="n">
        <v>12</v>
      </c>
      <c r="K7" s="4" t="n">
        <v>2</v>
      </c>
      <c r="L7" s="4" t="inlineStr">
        <is>
          <t>7+7</t>
        </is>
      </c>
      <c r="M7" s="4" t="n">
        <v>20.35</v>
      </c>
      <c r="N7" s="4" t="n">
        <v>20.59</v>
      </c>
      <c r="O7" s="4" t="n">
        <v>21.41</v>
      </c>
      <c r="P7" s="4" t="n"/>
      <c r="Q7" s="4" t="n"/>
      <c r="R7" s="4">
        <f>IF(COUNT(M7:Q7)=0,"",MEDIAN(M7:Q7))</f>
        <v/>
      </c>
      <c r="S7" s="4">
        <f>IF(COUNT(M7:Q7)=0,"",AVERAGE(M7:Q7))</f>
        <v/>
      </c>
      <c r="T7" s="7">
        <f>IF(COUNT(M7:Q7)&lt;2,"",STDEV.S(M7:Q7)/S7)</f>
        <v/>
      </c>
      <c r="U7" s="4" t="inlineStr">
        <is>
          <t>nk1</t>
        </is>
      </c>
      <c r="V7" s="4" t="n">
        <v>66.92</v>
      </c>
      <c r="W7" s="5">
        <f>IFERROR(R7/V7,"")</f>
        <v/>
      </c>
      <c r="X7" s="7">
        <f>IF(W7="","",1-W7)</f>
        <v/>
      </c>
      <c r="Y7" s="4" t="inlineStr">
        <is>
          <t>RECOVERED</t>
        </is>
      </c>
      <c r="Z7" s="4" t="inlineStr">
        <is>
          <t>Stage 1 winner</t>
        </is>
      </c>
      <c r="AA7" s="4" t="inlineStr">
        <is>
          <t>historical Stage 1</t>
        </is>
      </c>
    </row>
    <row r="8">
      <c r="A8" s="4" t="inlineStr">
        <is>
          <t>e002</t>
        </is>
      </c>
      <c r="B8" s="4" t="n">
        <v>203455</v>
      </c>
      <c r="C8" s="4" t="inlineStr">
        <is>
          <t>resource shape</t>
        </is>
      </c>
      <c r="D8" s="4" t="inlineStr">
        <is>
          <t>r7</t>
        </is>
      </c>
      <c r="E8" s="4" t="inlineStr">
        <is>
          <t>one rank per pool</t>
        </is>
      </c>
      <c r="F8" s="4" t="n">
        <v>7</v>
      </c>
      <c r="G8" s="4" t="n">
        <v>7</v>
      </c>
      <c r="H8" s="4" t="n">
        <v>7</v>
      </c>
      <c r="I8" s="4" t="n">
        <v>1</v>
      </c>
      <c r="J8" s="4" t="n">
        <v>12</v>
      </c>
      <c r="K8" s="4" t="n">
        <v>1</v>
      </c>
      <c r="L8" s="4" t="inlineStr">
        <is>
          <t>7</t>
        </is>
      </c>
      <c r="M8" s="4" t="n">
        <v>27.08</v>
      </c>
      <c r="N8" s="4" t="n">
        <v>26.77</v>
      </c>
      <c r="O8" s="4" t="n">
        <v>26.7</v>
      </c>
      <c r="P8" s="4" t="n"/>
      <c r="Q8" s="4" t="n"/>
      <c r="R8" s="4">
        <f>IF(COUNT(M8:Q8)=0,"",MEDIAN(M8:Q8))</f>
        <v/>
      </c>
      <c r="S8" s="4">
        <f>IF(COUNT(M8:Q8)=0,"",AVERAGE(M8:Q8))</f>
        <v/>
      </c>
      <c r="T8" s="7">
        <f>IF(COUNT(M8:Q8)&lt;2,"",STDEV.S(M8:Q8)/S8)</f>
        <v/>
      </c>
      <c r="U8" s="4" t="inlineStr">
        <is>
          <t>r7</t>
        </is>
      </c>
      <c r="V8" s="4" t="n">
        <v>26.77</v>
      </c>
      <c r="W8" s="5">
        <f>IFERROR(R8/V8,"")</f>
        <v/>
      </c>
      <c r="X8" s="7">
        <f>IF(W8="","",1-W8)</f>
        <v/>
      </c>
      <c r="Y8" s="4" t="inlineStr">
        <is>
          <t>RECOVERED</t>
        </is>
      </c>
      <c r="Z8" s="4" t="inlineStr">
        <is>
          <t>Resource baseline</t>
        </is>
      </c>
      <c r="AA8" s="4" t="inlineStr">
        <is>
          <t>/work/austinhpc25/hipac26-qe-runs/sweeps/g4x/type-a/A1-au111-manyk/e002-resource-shape/job-203455/raw-verification-v2</t>
        </is>
      </c>
    </row>
    <row r="9">
      <c r="A9" s="4" t="inlineStr">
        <is>
          <t>e002</t>
        </is>
      </c>
      <c r="B9" s="4" t="n">
        <v>203455</v>
      </c>
      <c r="C9" s="4" t="inlineStr">
        <is>
          <t>resource shape</t>
        </is>
      </c>
      <c r="D9" s="4" t="inlineStr">
        <is>
          <t>r14</t>
        </is>
      </c>
      <c r="E9" s="4" t="inlineStr">
        <is>
          <t>two ranks per pool</t>
        </is>
      </c>
      <c r="F9" s="4" t="n">
        <v>7</v>
      </c>
      <c r="G9" s="4" t="n">
        <v>14</v>
      </c>
      <c r="H9" s="4" t="n">
        <v>14</v>
      </c>
      <c r="I9" s="4" t="n">
        <v>2</v>
      </c>
      <c r="J9" s="4" t="n">
        <v>12</v>
      </c>
      <c r="K9" s="4" t="n">
        <v>2</v>
      </c>
      <c r="L9" s="4" t="inlineStr">
        <is>
          <t>7+7</t>
        </is>
      </c>
      <c r="M9" s="4" t="n">
        <v>21.17</v>
      </c>
      <c r="N9" s="4" t="n">
        <v>21.22</v>
      </c>
      <c r="O9" s="4" t="n">
        <v>20.82</v>
      </c>
      <c r="P9" s="4" t="n"/>
      <c r="Q9" s="4" t="n"/>
      <c r="R9" s="4">
        <f>IF(COUNT(M9:Q9)=0,"",MEDIAN(M9:Q9))</f>
        <v/>
      </c>
      <c r="S9" s="4">
        <f>IF(COUNT(M9:Q9)=0,"",AVERAGE(M9:Q9))</f>
        <v/>
      </c>
      <c r="T9" s="7">
        <f>IF(COUNT(M9:Q9)&lt;2,"",STDEV.S(M9:Q9)/S9)</f>
        <v/>
      </c>
      <c r="U9" s="4" t="inlineStr">
        <is>
          <t>r7</t>
        </is>
      </c>
      <c r="V9" s="4" t="n">
        <v>26.77</v>
      </c>
      <c r="W9" s="5">
        <f>IFERROR(R9/V9,"")</f>
        <v/>
      </c>
      <c r="X9" s="7">
        <f>IF(W9="","",1-W9)</f>
        <v/>
      </c>
      <c r="Y9" s="4" t="inlineStr">
        <is>
          <t>RECOVERED</t>
        </is>
      </c>
      <c r="Z9" s="4" t="inlineStr">
        <is>
          <t>Latency winner</t>
        </is>
      </c>
      <c r="AA9" s="4" t="inlineStr">
        <is>
          <t>/work/austinhpc25/hipac26-qe-runs/sweeps/g4x/type-a/A1-au111-manyk/e002-resource-shape/job-203455/raw-verification-v2</t>
        </is>
      </c>
    </row>
    <row r="10">
      <c r="A10" s="4" t="inlineStr">
        <is>
          <t>e003</t>
        </is>
      </c>
      <c r="B10" s="4" t="n">
        <v>203897</v>
      </c>
      <c r="C10" s="4" t="inlineStr">
        <is>
          <t>pool placement</t>
        </is>
      </c>
      <c r="D10" s="4" t="inlineStr">
        <is>
          <t>map7x7</t>
        </is>
      </c>
      <c r="E10" s="4" t="inlineStr">
        <is>
          <t>balanced 7+7</t>
        </is>
      </c>
      <c r="F10" s="4" t="n">
        <v>7</v>
      </c>
      <c r="G10" s="4" t="n">
        <v>14</v>
      </c>
      <c r="H10" s="4" t="n">
        <v>14</v>
      </c>
      <c r="I10" s="4" t="n">
        <v>2</v>
      </c>
      <c r="J10" s="4" t="n">
        <v>12</v>
      </c>
      <c r="K10" s="4" t="n">
        <v>2</v>
      </c>
      <c r="L10" s="4" t="inlineStr">
        <is>
          <t>7+7</t>
        </is>
      </c>
      <c r="M10" s="4" t="n">
        <v>21.88</v>
      </c>
      <c r="N10" s="4" t="n">
        <v>20.92</v>
      </c>
      <c r="O10" s="4" t="n">
        <v>21.07</v>
      </c>
      <c r="P10" s="4" t="n"/>
      <c r="Q10" s="4" t="n"/>
      <c r="R10" s="4">
        <f>IF(COUNT(M10:Q10)=0,"",MEDIAN(M10:Q10))</f>
        <v/>
      </c>
      <c r="S10" s="4">
        <f>IF(COUNT(M10:Q10)=0,"",AVERAGE(M10:Q10))</f>
        <v/>
      </c>
      <c r="T10" s="7">
        <f>IF(COUNT(M10:Q10)&lt;2,"",STDEV.S(M10:Q10)/S10)</f>
        <v/>
      </c>
      <c r="U10" s="4" t="inlineStr">
        <is>
          <t>map7x7</t>
        </is>
      </c>
      <c r="V10" s="4" t="n">
        <v>21.07</v>
      </c>
      <c r="W10" s="5">
        <f>IFERROR(R10/V10,"")</f>
        <v/>
      </c>
      <c r="X10" s="7">
        <f>IF(W10="","",1-W10)</f>
        <v/>
      </c>
      <c r="Y10" s="4" t="inlineStr">
        <is>
          <t>PASS</t>
        </is>
      </c>
      <c r="Z10" s="4" t="inlineStr">
        <is>
          <t>Baseline</t>
        </is>
      </c>
      <c r="AA10" s="4" t="inlineStr">
        <is>
          <t>/work/austinhpc25/hipac26-qe-runs/sweeps/g4x/type-a/A1-au111-manyk/e003-pool-placement/job-203897/raw-verification-v2</t>
        </is>
      </c>
    </row>
    <row r="11">
      <c r="A11" s="4" t="inlineStr">
        <is>
          <t>e003</t>
        </is>
      </c>
      <c r="B11" s="4" t="n">
        <v>203897</v>
      </c>
      <c r="C11" s="4" t="inlineStr">
        <is>
          <t>pool placement</t>
        </is>
      </c>
      <c r="D11" s="4" t="inlineStr">
        <is>
          <t>map8x6</t>
        </is>
      </c>
      <c r="E11" s="4" t="inlineStr">
        <is>
          <t>asymmetric 8+6</t>
        </is>
      </c>
      <c r="F11" s="4" t="n">
        <v>7</v>
      </c>
      <c r="G11" s="4" t="n">
        <v>14</v>
      </c>
      <c r="H11" s="4" t="n">
        <v>14</v>
      </c>
      <c r="I11" s="4" t="n">
        <v>2</v>
      </c>
      <c r="J11" s="4" t="n">
        <v>12</v>
      </c>
      <c r="K11" s="4" t="n">
        <v>2</v>
      </c>
      <c r="L11" s="4" t="inlineStr">
        <is>
          <t>8+6</t>
        </is>
      </c>
      <c r="M11" s="4" t="n">
        <v>19.47</v>
      </c>
      <c r="N11" s="4" t="n">
        <v>20.04</v>
      </c>
      <c r="O11" s="4" t="n">
        <v>19.61</v>
      </c>
      <c r="P11" s="4" t="n"/>
      <c r="Q11" s="4" t="n"/>
      <c r="R11" s="4">
        <f>IF(COUNT(M11:Q11)=0,"",MEDIAN(M11:Q11))</f>
        <v/>
      </c>
      <c r="S11" s="4">
        <f>IF(COUNT(M11:Q11)=0,"",AVERAGE(M11:Q11))</f>
        <v/>
      </c>
      <c r="T11" s="7">
        <f>IF(COUNT(M11:Q11)&lt;2,"",STDEV.S(M11:Q11)/S11)</f>
        <v/>
      </c>
      <c r="U11" s="4" t="inlineStr">
        <is>
          <t>map7x7</t>
        </is>
      </c>
      <c r="V11" s="4" t="n">
        <v>21.07</v>
      </c>
      <c r="W11" s="5">
        <f>IFERROR(R11/V11,"")</f>
        <v/>
      </c>
      <c r="X11" s="7">
        <f>IF(W11="","",1-W11)</f>
        <v/>
      </c>
      <c r="Y11" s="4" t="inlineStr">
        <is>
          <t>PASS</t>
        </is>
      </c>
      <c r="Z11" s="4" t="inlineStr">
        <is>
          <t>Winner</t>
        </is>
      </c>
      <c r="AA11" s="4" t="inlineStr">
        <is>
          <t>/work/austinhpc25/hipac26-qe-runs/sweeps/g4x/type-a/A1-au111-manyk/e003-pool-placement/job-203897/raw-verification-v2</t>
        </is>
      </c>
    </row>
    <row r="12">
      <c r="A12" s="4" t="inlineStr">
        <is>
          <t>e004</t>
        </is>
      </c>
      <c r="B12" s="4" t="n">
        <v>203925</v>
      </c>
      <c r="C12" s="4" t="inlineStr">
        <is>
          <t>pool placement</t>
        </is>
      </c>
      <c r="D12" s="4" t="inlineStr">
        <is>
          <t>map7x7</t>
        </is>
      </c>
      <c r="E12" s="4" t="inlineStr">
        <is>
          <t>balanced 7+7</t>
        </is>
      </c>
      <c r="F12" s="4" t="n">
        <v>7</v>
      </c>
      <c r="G12" s="4" t="n">
        <v>14</v>
      </c>
      <c r="H12" s="4" t="n">
        <v>14</v>
      </c>
      <c r="I12" s="4" t="n">
        <v>2</v>
      </c>
      <c r="J12" s="4" t="n">
        <v>12</v>
      </c>
      <c r="K12" s="4" t="n">
        <v>2</v>
      </c>
      <c r="L12" s="4" t="inlineStr">
        <is>
          <t>7+7</t>
        </is>
      </c>
      <c r="M12" s="4" t="n">
        <v>20.8</v>
      </c>
      <c r="N12" s="4" t="n">
        <v>20.81</v>
      </c>
      <c r="O12" s="4" t="n">
        <v>20.82</v>
      </c>
      <c r="P12" s="4" t="n">
        <v>20.88</v>
      </c>
      <c r="Q12" s="4" t="n">
        <v>20.78</v>
      </c>
      <c r="R12" s="4">
        <f>IF(COUNT(M12:Q12)=0,"",MEDIAN(M12:Q12))</f>
        <v/>
      </c>
      <c r="S12" s="4">
        <f>IF(COUNT(M12:Q12)=0,"",AVERAGE(M12:Q12))</f>
        <v/>
      </c>
      <c r="T12" s="7">
        <f>IF(COUNT(M12:Q12)&lt;2,"",STDEV.S(M12:Q12)/S12)</f>
        <v/>
      </c>
      <c r="U12" s="4" t="inlineStr">
        <is>
          <t>map7x7</t>
        </is>
      </c>
      <c r="V12" s="4" t="n">
        <v>20.81</v>
      </c>
      <c r="W12" s="5">
        <f>IFERROR(R12/V12,"")</f>
        <v/>
      </c>
      <c r="X12" s="7">
        <f>IF(W12="","",1-W12)</f>
        <v/>
      </c>
      <c r="Y12" s="4" t="inlineStr">
        <is>
          <t>PASS</t>
        </is>
      </c>
      <c r="Z12" s="4" t="inlineStr">
        <is>
          <t>Baseline</t>
        </is>
      </c>
      <c r="AA12" s="4" t="inlineStr">
        <is>
          <t>/work/austinhpc25/hipac26-qe-runs/sweeps/g4x/type-a/A1-au111-manyk/e004-placement-confirmation/job-203925/raw-verification-v2</t>
        </is>
      </c>
    </row>
    <row r="13">
      <c r="A13" s="4" t="inlineStr">
        <is>
          <t>e004</t>
        </is>
      </c>
      <c r="B13" s="4" t="n">
        <v>203925</v>
      </c>
      <c r="C13" s="4" t="inlineStr">
        <is>
          <t>pool placement</t>
        </is>
      </c>
      <c r="D13" s="4" t="inlineStr">
        <is>
          <t>map8x6</t>
        </is>
      </c>
      <c r="E13" s="4" t="inlineStr">
        <is>
          <t>asymmetric 8+6</t>
        </is>
      </c>
      <c r="F13" s="4" t="n">
        <v>7</v>
      </c>
      <c r="G13" s="4" t="n">
        <v>14</v>
      </c>
      <c r="H13" s="4" t="n">
        <v>14</v>
      </c>
      <c r="I13" s="4" t="n">
        <v>2</v>
      </c>
      <c r="J13" s="4" t="n">
        <v>12</v>
      </c>
      <c r="K13" s="4" t="n">
        <v>2</v>
      </c>
      <c r="L13" s="4" t="inlineStr">
        <is>
          <t>8+6</t>
        </is>
      </c>
      <c r="M13" s="4" t="n">
        <v>18.72</v>
      </c>
      <c r="N13" s="4" t="n">
        <v>18.44</v>
      </c>
      <c r="O13" s="4" t="n">
        <v>19.1</v>
      </c>
      <c r="P13" s="4" t="n">
        <v>19.52</v>
      </c>
      <c r="Q13" s="4" t="n">
        <v>18.46</v>
      </c>
      <c r="R13" s="4">
        <f>IF(COUNT(M13:Q13)=0,"",MEDIAN(M13:Q13))</f>
        <v/>
      </c>
      <c r="S13" s="4">
        <f>IF(COUNT(M13:Q13)=0,"",AVERAGE(M13:Q13))</f>
        <v/>
      </c>
      <c r="T13" s="7">
        <f>IF(COUNT(M13:Q13)&lt;2,"",STDEV.S(M13:Q13)/S13)</f>
        <v/>
      </c>
      <c r="U13" s="4" t="inlineStr">
        <is>
          <t>map7x7</t>
        </is>
      </c>
      <c r="V13" s="4" t="n">
        <v>20.81</v>
      </c>
      <c r="W13" s="5">
        <f>IFERROR(R13/V13,"")</f>
        <v/>
      </c>
      <c r="X13" s="7">
        <f>IF(W13="","",1-W13)</f>
        <v/>
      </c>
      <c r="Y13" s="4" t="inlineStr">
        <is>
          <t>PASS</t>
        </is>
      </c>
      <c r="Z13" s="4" t="inlineStr">
        <is>
          <t>Winner</t>
        </is>
      </c>
      <c r="AA13" s="4" t="inlineStr">
        <is>
          <t>/work/austinhpc25/hipac26-qe-runs/sweeps/g4x/type-a/A1-au111-manyk/e004-placement-confirmation/job-203925/raw-verification-v2</t>
        </is>
      </c>
    </row>
  </sheetData>
  <autoFilter ref="A4:AA13"/>
  <mergeCells count="2">
    <mergeCell ref="A1:AA1"/>
    <mergeCell ref="A2:AA2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F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12" customWidth="1" min="4" max="4"/>
    <col width="36" customWidth="1" min="5" max="5"/>
    <col width="12" customWidth="1" min="6" max="6"/>
    <col width="12" customWidth="1" min="7" max="7"/>
    <col width="18" customWidth="1" min="8" max="8"/>
    <col width="9" customWidth="1" min="9" max="9"/>
    <col width="7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2" customWidth="1" min="19" max="19"/>
    <col width="10" customWidth="1" min="20" max="20"/>
    <col width="16" customWidth="1" min="21" max="21"/>
    <col width="20" customWidth="1" min="22" max="22"/>
    <col width="12" customWidth="1" min="23" max="23"/>
    <col width="16" customWidth="1" min="24" max="24"/>
    <col width="12" customWidth="1" min="25" max="25"/>
    <col width="13" customWidth="1" min="26" max="26"/>
    <col width="13" customWidth="1" min="27" max="27"/>
    <col width="20" customWidth="1" min="28" max="28"/>
    <col width="27" customWidth="1" min="29" max="29"/>
    <col width="13" customWidth="1" min="30" max="30"/>
    <col width="31" customWidth="1" min="31" max="31"/>
    <col width="65" customWidth="1" min="32" max="32"/>
  </cols>
  <sheetData>
    <row r="1" ht="28" customHeight="1">
      <c r="A1" s="1" t="inlineStr">
        <is>
          <t>Type B Optimization — B1-si1000-gamma</t>
        </is>
      </c>
    </row>
    <row r="2" ht="34" customHeight="1">
      <c r="A2" s="2" t="inlineStr">
        <is>
          <t>固定 G4X、nk=1、OMP=12、one MPI rank per active GPU。Job allocated GPUs 與 active GPUs 分開記錄。</t>
        </is>
      </c>
    </row>
    <row r="3"/>
    <row r="4" ht="34" customHeight="1">
      <c r="A4" s="3" t="inlineStr">
        <is>
          <t>Experiment</t>
        </is>
      </c>
      <c r="B4" s="3" t="inlineStr">
        <is>
          <t>Job</t>
        </is>
      </c>
      <c r="C4" s="3" t="inlineStr">
        <is>
          <t>Objective</t>
        </is>
      </c>
      <c r="D4" s="3" t="inlineStr">
        <is>
          <t>Candidate</t>
        </is>
      </c>
      <c r="E4" s="3" t="inlineStr">
        <is>
          <t>Key Difference</t>
        </is>
      </c>
      <c r="F4" s="3" t="inlineStr">
        <is>
          <t>Active GPUs</t>
        </is>
      </c>
      <c r="G4" s="3" t="inlineStr">
        <is>
          <t>Active Nodes</t>
        </is>
      </c>
      <c r="H4" s="3" t="inlineStr">
        <is>
          <t>Job Allocated GPUs</t>
        </is>
      </c>
      <c r="I4" s="3" t="inlineStr">
        <is>
          <t>MPI</t>
        </is>
      </c>
      <c r="J4" s="3" t="inlineStr">
        <is>
          <t>nk</t>
        </is>
      </c>
      <c r="K4" s="3" t="inlineStr">
        <is>
          <t>OMP</t>
        </is>
      </c>
      <c r="L4" s="3" t="inlineStr">
        <is>
          <t>Layout</t>
        </is>
      </c>
      <c r="M4" s="3" t="inlineStr">
        <is>
          <t>Run 1</t>
        </is>
      </c>
      <c r="N4" s="3" t="inlineStr">
        <is>
          <t>Run 2</t>
        </is>
      </c>
      <c r="O4" s="3" t="inlineStr">
        <is>
          <t>Run 3</t>
        </is>
      </c>
      <c r="P4" s="3" t="inlineStr">
        <is>
          <t>Run 4</t>
        </is>
      </c>
      <c r="Q4" s="3" t="inlineStr">
        <is>
          <t>Run 5</t>
        </is>
      </c>
      <c r="R4" s="3" t="inlineStr">
        <is>
          <t>Median</t>
        </is>
      </c>
      <c r="S4" s="3" t="inlineStr">
        <is>
          <t>Mean</t>
        </is>
      </c>
      <c r="T4" s="3" t="inlineStr">
        <is>
          <t>CV</t>
        </is>
      </c>
      <c r="U4" s="3" t="inlineStr">
        <is>
          <t>Active GPU-s</t>
        </is>
      </c>
      <c r="V4" s="3" t="inlineStr">
        <is>
          <t>Job Allocation GPU-s</t>
        </is>
      </c>
      <c r="W4" s="3" t="inlineStr">
        <is>
          <t>Baseline</t>
        </is>
      </c>
      <c r="X4" s="3" t="inlineStr">
        <is>
          <t>Baseline Median</t>
        </is>
      </c>
      <c r="Y4" s="3" t="inlineStr">
        <is>
          <t>Ratio</t>
        </is>
      </c>
      <c r="Z4" s="3" t="inlineStr">
        <is>
          <t>Improvement</t>
        </is>
      </c>
      <c r="AA4" s="3" t="inlineStr">
        <is>
          <t>Paired Wins</t>
        </is>
      </c>
      <c r="AB4" s="3" t="inlineStr">
        <is>
          <t>Latency Decision</t>
        </is>
      </c>
      <c r="AC4" s="3" t="inlineStr">
        <is>
          <t>Efficiency Note</t>
        </is>
      </c>
      <c r="AD4" s="3" t="inlineStr">
        <is>
          <t>Status</t>
        </is>
      </c>
      <c r="AE4" s="3" t="inlineStr">
        <is>
          <t>Conclusion</t>
        </is>
      </c>
      <c r="AF4" s="3" t="inlineStr">
        <is>
          <t>Evidence</t>
        </is>
      </c>
    </row>
    <row r="5">
      <c r="A5" s="4" t="inlineStr">
        <is>
          <t>e001</t>
        </is>
      </c>
      <c r="B5" s="4" t="n">
        <v>200733</v>
      </c>
      <c r="C5" s="4" t="inlineStr">
        <is>
          <t>4/8/16 coarse scaling</t>
        </is>
      </c>
      <c r="D5" s="4" t="inlineStr">
        <is>
          <t>r4</t>
        </is>
      </c>
      <c r="E5" s="4" t="inlineStr">
        <is>
          <t>four active GPUs</t>
        </is>
      </c>
      <c r="F5" s="4" t="n">
        <v>4</v>
      </c>
      <c r="G5" s="4" t="n">
        <v>1</v>
      </c>
      <c r="H5" s="4" t="n">
        <v>16</v>
      </c>
      <c r="I5" s="4" t="n">
        <v>4</v>
      </c>
      <c r="J5" s="4" t="n">
        <v>1</v>
      </c>
      <c r="K5" s="4" t="n">
        <v>12</v>
      </c>
      <c r="L5" s="4" t="inlineStr">
        <is>
          <t>4</t>
        </is>
      </c>
      <c r="M5" s="4" t="n">
        <v>133.93</v>
      </c>
      <c r="N5" s="4" t="n">
        <v>134.7</v>
      </c>
      <c r="O5" s="4" t="n">
        <v>134.19</v>
      </c>
      <c r="P5" s="4" t="n"/>
      <c r="Q5" s="4" t="n"/>
      <c r="R5" s="4">
        <f>IF(COUNT(M5:Q5)=0,"",MEDIAN(M5:Q5))</f>
        <v/>
      </c>
      <c r="S5" s="4">
        <f>IF(COUNT(M5:Q5)=0,"",AVERAGE(M5:Q5))</f>
        <v/>
      </c>
      <c r="T5" s="7">
        <f>IF(COUNT(M5:Q5)&lt;2,"",STDEV.S(M5:Q5)/S5)</f>
        <v/>
      </c>
      <c r="U5" s="4">
        <f>R5*F5</f>
        <v/>
      </c>
      <c r="V5" s="4">
        <f>R5*H5</f>
        <v/>
      </c>
      <c r="W5" s="4" t="inlineStr">
        <is>
          <t>r8</t>
        </is>
      </c>
      <c r="X5" s="4" t="n">
        <v>82.98</v>
      </c>
      <c r="Y5" s="5">
        <f>IFERROR(R5/X5,"")</f>
        <v/>
      </c>
      <c r="Z5" s="7">
        <f>IF(Y5="","",1-Y5)</f>
        <v/>
      </c>
      <c r="AA5" s="4" t="inlineStr">
        <is>
          <t>n/a</t>
        </is>
      </c>
      <c r="AB5" s="4" t="inlineStr">
        <is>
          <t>r8 overall winner</t>
        </is>
      </c>
      <c r="AC5" s="4" t="inlineStr">
        <is>
          <t>active GPU-s winner</t>
        </is>
      </c>
      <c r="AD5" s="4" t="inlineStr">
        <is>
          <t>RECOVERED</t>
        </is>
      </c>
      <c r="AE5" s="4" t="inlineStr">
        <is>
          <t>Lowest active GPU-s; slower wall</t>
        </is>
      </c>
      <c r="AF5" s="4" t="inlineStr">
        <is>
          <t>/work/austinhpc25/hipac26-qe-runs/g4x-sweeps/type_b_gpu_scaling/job-200733/raw-verification-v2</t>
        </is>
      </c>
    </row>
    <row r="6">
      <c r="A6" s="4" t="inlineStr">
        <is>
          <t>e001</t>
        </is>
      </c>
      <c r="B6" s="4" t="n">
        <v>200733</v>
      </c>
      <c r="C6" s="4" t="inlineStr">
        <is>
          <t>4/8/16 coarse scaling</t>
        </is>
      </c>
      <c r="D6" s="4" t="inlineStr">
        <is>
          <t>r8</t>
        </is>
      </c>
      <c r="E6" s="4" t="inlineStr">
        <is>
          <t>one full active node</t>
        </is>
      </c>
      <c r="F6" s="4" t="n">
        <v>8</v>
      </c>
      <c r="G6" s="4" t="n">
        <v>1</v>
      </c>
      <c r="H6" s="4" t="n">
        <v>16</v>
      </c>
      <c r="I6" s="4" t="n">
        <v>8</v>
      </c>
      <c r="J6" s="4" t="n">
        <v>1</v>
      </c>
      <c r="K6" s="4" t="n">
        <v>12</v>
      </c>
      <c r="L6" s="4" t="inlineStr">
        <is>
          <t>8</t>
        </is>
      </c>
      <c r="M6" s="4" t="n">
        <v>82.76000000000001</v>
      </c>
      <c r="N6" s="4" t="n">
        <v>83.45</v>
      </c>
      <c r="O6" s="4" t="n">
        <v>82.98</v>
      </c>
      <c r="P6" s="4" t="n"/>
      <c r="Q6" s="4" t="n"/>
      <c r="R6" s="4">
        <f>IF(COUNT(M6:Q6)=0,"",MEDIAN(M6:Q6))</f>
        <v/>
      </c>
      <c r="S6" s="4">
        <f>IF(COUNT(M6:Q6)=0,"",AVERAGE(M6:Q6))</f>
        <v/>
      </c>
      <c r="T6" s="7">
        <f>IF(COUNT(M6:Q6)&lt;2,"",STDEV.S(M6:Q6)/S6)</f>
        <v/>
      </c>
      <c r="U6" s="4">
        <f>R6*F6</f>
        <v/>
      </c>
      <c r="V6" s="4">
        <f>R6*H6</f>
        <v/>
      </c>
      <c r="W6" s="4" t="inlineStr">
        <is>
          <t>r8</t>
        </is>
      </c>
      <c r="X6" s="4" t="n">
        <v>82.98</v>
      </c>
      <c r="Y6" s="5">
        <f>IFERROR(R6/X6,"")</f>
        <v/>
      </c>
      <c r="Z6" s="7">
        <f>IF(Y6="","",1-Y6)</f>
        <v/>
      </c>
      <c r="AA6" s="4" t="inlineStr">
        <is>
          <t>n/a</t>
        </is>
      </c>
      <c r="AB6" s="4" t="inlineStr">
        <is>
          <t>winner</t>
        </is>
      </c>
      <c r="AC6" s="4" t="inlineStr">
        <is>
          <t>middle active GPU-s</t>
        </is>
      </c>
      <c r="AD6" s="4" t="inlineStr">
        <is>
          <t>RECOVERED</t>
        </is>
      </c>
      <c r="AE6" s="4" t="inlineStr">
        <is>
          <t>Coarse latency winner</t>
        </is>
      </c>
      <c r="AF6" s="4" t="inlineStr">
        <is>
          <t>/work/austinhpc25/hipac26-qe-runs/g4x-sweeps/type_b_gpu_scaling/job-200733/raw-verification-v2</t>
        </is>
      </c>
    </row>
    <row r="7">
      <c r="A7" s="4" t="inlineStr">
        <is>
          <t>e001</t>
        </is>
      </c>
      <c r="B7" s="4" t="n">
        <v>200733</v>
      </c>
      <c r="C7" s="4" t="inlineStr">
        <is>
          <t>4/8/16 coarse scaling</t>
        </is>
      </c>
      <c r="D7" s="4" t="inlineStr">
        <is>
          <t>r16</t>
        </is>
      </c>
      <c r="E7" s="4" t="inlineStr">
        <is>
          <t>two active nodes; 8+8</t>
        </is>
      </c>
      <c r="F7" s="4" t="n">
        <v>16</v>
      </c>
      <c r="G7" s="4" t="n">
        <v>2</v>
      </c>
      <c r="H7" s="4" t="n">
        <v>16</v>
      </c>
      <c r="I7" s="4" t="n">
        <v>16</v>
      </c>
      <c r="J7" s="4" t="n">
        <v>1</v>
      </c>
      <c r="K7" s="4" t="n">
        <v>12</v>
      </c>
      <c r="L7" s="4" t="inlineStr">
        <is>
          <t>8+8</t>
        </is>
      </c>
      <c r="M7" s="4" t="n">
        <v>106.51</v>
      </c>
      <c r="N7" s="4" t="n">
        <v>103.99</v>
      </c>
      <c r="O7" s="4" t="n">
        <v>106.06</v>
      </c>
      <c r="P7" s="4" t="n"/>
      <c r="Q7" s="4" t="n"/>
      <c r="R7" s="4">
        <f>IF(COUNT(M7:Q7)=0,"",MEDIAN(M7:Q7))</f>
        <v/>
      </c>
      <c r="S7" s="4">
        <f>IF(COUNT(M7:Q7)=0,"",AVERAGE(M7:Q7))</f>
        <v/>
      </c>
      <c r="T7" s="7">
        <f>IF(COUNT(M7:Q7)&lt;2,"",STDEV.S(M7:Q7)/S7)</f>
        <v/>
      </c>
      <c r="U7" s="4">
        <f>R7*F7</f>
        <v/>
      </c>
      <c r="V7" s="4">
        <f>R7*H7</f>
        <v/>
      </c>
      <c r="W7" s="4" t="inlineStr">
        <is>
          <t>r8</t>
        </is>
      </c>
      <c r="X7" s="4" t="n">
        <v>82.98</v>
      </c>
      <c r="Y7" s="5">
        <f>IFERROR(R7/X7,"")</f>
        <v/>
      </c>
      <c r="Z7" s="7">
        <f>IF(Y7="","",1-Y7)</f>
        <v/>
      </c>
      <c r="AA7" s="4" t="inlineStr">
        <is>
          <t>n/a</t>
        </is>
      </c>
      <c r="AB7" s="4" t="inlineStr">
        <is>
          <t>loses to r8</t>
        </is>
      </c>
      <c r="AC7" s="4" t="inlineStr">
        <is>
          <t>strictly worse than r8</t>
        </is>
      </c>
      <c r="AD7" s="4" t="inlineStr">
        <is>
          <t>RECOVERED</t>
        </is>
      </c>
      <c r="AE7" s="4" t="inlineStr">
        <is>
          <t>Cross-node negative scaling</t>
        </is>
      </c>
      <c r="AF7" s="4" t="inlineStr">
        <is>
          <t>/work/austinhpc25/hipac26-qe-runs/g4x-sweeps/type_b_gpu_scaling/job-200733/raw-verification-v2</t>
        </is>
      </c>
    </row>
    <row r="8">
      <c r="A8" s="4" t="inlineStr">
        <is>
          <t>e002</t>
        </is>
      </c>
      <c r="B8" s="4" t="n">
        <v>218992</v>
      </c>
      <c r="C8" s="4" t="inlineStr">
        <is>
          <t>single-node refinement</t>
        </is>
      </c>
      <c r="D8" s="4" t="inlineStr">
        <is>
          <t>r6</t>
        </is>
      </c>
      <c r="E8" s="4" t="inlineStr">
        <is>
          <t>six active GPUs in 8-GPU node</t>
        </is>
      </c>
      <c r="F8" s="4" t="n">
        <v>6</v>
      </c>
      <c r="G8" s="4" t="n">
        <v>1</v>
      </c>
      <c r="H8" s="4" t="n">
        <v>8</v>
      </c>
      <c r="I8" s="4" t="n">
        <v>6</v>
      </c>
      <c r="J8" s="4" t="n">
        <v>1</v>
      </c>
      <c r="K8" s="4" t="n">
        <v>12</v>
      </c>
      <c r="L8" s="4" t="inlineStr">
        <is>
          <t>6</t>
        </is>
      </c>
      <c r="M8" s="4" t="n">
        <v>112.59</v>
      </c>
      <c r="N8" s="4" t="n">
        <v>111.27</v>
      </c>
      <c r="O8" s="4" t="n">
        <v>104.21</v>
      </c>
      <c r="P8" s="4" t="n">
        <v>111.94</v>
      </c>
      <c r="Q8" s="4" t="n">
        <v>103.82</v>
      </c>
      <c r="R8" s="4">
        <f>IF(COUNT(M8:Q8)=0,"",MEDIAN(M8:Q8))</f>
        <v/>
      </c>
      <c r="S8" s="4">
        <f>IF(COUNT(M8:Q8)=0,"",AVERAGE(M8:Q8))</f>
        <v/>
      </c>
      <c r="T8" s="7">
        <f>IF(COUNT(M8:Q8)&lt;2,"",STDEV.S(M8:Q8)/S8)</f>
        <v/>
      </c>
      <c r="U8" s="4">
        <f>R8*F8</f>
        <v/>
      </c>
      <c r="V8" s="4">
        <f>R8*H8</f>
        <v/>
      </c>
      <c r="W8" s="4" t="inlineStr">
        <is>
          <t>r6</t>
        </is>
      </c>
      <c r="X8" s="4" t="n">
        <v>111.27</v>
      </c>
      <c r="Y8" s="5">
        <f>IFERROR(R8/X8,"")</f>
        <v/>
      </c>
      <c r="Z8" s="7">
        <f>IF(Y8="","",1-Y8)</f>
        <v/>
      </c>
      <c r="AA8" s="4" t="inlineStr">
        <is>
          <t>0/5</t>
        </is>
      </c>
      <c r="AB8" s="4" t="inlineStr">
        <is>
          <t>baseline</t>
        </is>
      </c>
      <c r="AC8" s="4" t="inlineStr">
        <is>
          <t>active GPU-s near r8</t>
        </is>
      </c>
      <c r="AD8" s="4" t="inlineStr">
        <is>
          <t>PASS</t>
        </is>
      </c>
      <c r="AE8" s="4" t="inlineStr">
        <is>
          <t>Resource trade-off candidate</t>
        </is>
      </c>
      <c r="AF8" s="4" t="inlineStr">
        <is>
          <t>/work/austinhpc25/hipac26-qe-runs/sweeps/g4x/type-b/B1-si1000-gamma/e002-single-node-refinement/job-218992/raw-verification-v2</t>
        </is>
      </c>
    </row>
    <row r="9">
      <c r="A9" s="4" t="inlineStr">
        <is>
          <t>e002</t>
        </is>
      </c>
      <c r="B9" s="4" t="n">
        <v>218992</v>
      </c>
      <c r="C9" s="4" t="inlineStr">
        <is>
          <t>single-node refinement</t>
        </is>
      </c>
      <c r="D9" s="4" t="inlineStr">
        <is>
          <t>r8</t>
        </is>
      </c>
      <c r="E9" s="4" t="inlineStr">
        <is>
          <t>eight active GPUs</t>
        </is>
      </c>
      <c r="F9" s="4" t="n">
        <v>8</v>
      </c>
      <c r="G9" s="4" t="n">
        <v>1</v>
      </c>
      <c r="H9" s="4" t="n">
        <v>8</v>
      </c>
      <c r="I9" s="4" t="n">
        <v>8</v>
      </c>
      <c r="J9" s="4" t="n">
        <v>1</v>
      </c>
      <c r="K9" s="4" t="n">
        <v>12</v>
      </c>
      <c r="L9" s="4" t="inlineStr">
        <is>
          <t>8</t>
        </is>
      </c>
      <c r="M9" s="4" t="n">
        <v>85.65000000000001</v>
      </c>
      <c r="N9" s="4" t="n">
        <v>83.26000000000001</v>
      </c>
      <c r="O9" s="4" t="n">
        <v>83</v>
      </c>
      <c r="P9" s="4" t="n">
        <v>89.09</v>
      </c>
      <c r="Q9" s="4" t="n">
        <v>82.69</v>
      </c>
      <c r="R9" s="4">
        <f>IF(COUNT(M9:Q9)=0,"",MEDIAN(M9:Q9))</f>
        <v/>
      </c>
      <c r="S9" s="4">
        <f>IF(COUNT(M9:Q9)=0,"",AVERAGE(M9:Q9))</f>
        <v/>
      </c>
      <c r="T9" s="7">
        <f>IF(COUNT(M9:Q9)&lt;2,"",STDEV.S(M9:Q9)/S9)</f>
        <v/>
      </c>
      <c r="U9" s="4">
        <f>R9*F9</f>
        <v/>
      </c>
      <c r="V9" s="4">
        <f>R9*H9</f>
        <v/>
      </c>
      <c r="W9" s="4" t="inlineStr">
        <is>
          <t>r6</t>
        </is>
      </c>
      <c r="X9" s="4" t="n">
        <v>111.27</v>
      </c>
      <c r="Y9" s="5">
        <f>IFERROR(R9/X9,"")</f>
        <v/>
      </c>
      <c r="Z9" s="7">
        <f>IF(Y9="","",1-Y9)</f>
        <v/>
      </c>
      <c r="AA9" s="4" t="inlineStr">
        <is>
          <t>5/5</t>
        </is>
      </c>
      <c r="AB9" s="4" t="inlineStr">
        <is>
          <t>winner</t>
        </is>
      </c>
      <c r="AC9" s="4" t="inlineStr">
        <is>
          <t>active GPU-s winner</t>
        </is>
      </c>
      <c r="AD9" s="4" t="inlineStr">
        <is>
          <t>PASS</t>
        </is>
      </c>
      <c r="AE9" s="4" t="inlineStr">
        <is>
          <t>Preliminary latency winner</t>
        </is>
      </c>
      <c r="AF9" s="4" t="inlineStr">
        <is>
          <t>/work/austinhpc25/hipac26-qe-runs/sweeps/g4x/type-b/B1-si1000-gamma/e002-single-node-refinement/job-218992/raw-verification-v2</t>
        </is>
      </c>
    </row>
    <row r="10">
      <c r="A10" s="4" t="inlineStr">
        <is>
          <t>e003</t>
        </is>
      </c>
      <c r="B10" s="4" t="n">
        <v>219031</v>
      </c>
      <c r="C10" s="4" t="inlineStr">
        <is>
          <t>independent confirmation</t>
        </is>
      </c>
      <c r="D10" s="4" t="inlineStr">
        <is>
          <t>r6</t>
        </is>
      </c>
      <c r="E10" s="4" t="inlineStr">
        <is>
          <t>six active GPUs in 8-GPU node</t>
        </is>
      </c>
      <c r="F10" s="4" t="n">
        <v>6</v>
      </c>
      <c r="G10" s="4" t="n">
        <v>1</v>
      </c>
      <c r="H10" s="4" t="n">
        <v>8</v>
      </c>
      <c r="I10" s="4" t="n">
        <v>6</v>
      </c>
      <c r="J10" s="4" t="n">
        <v>1</v>
      </c>
      <c r="K10" s="4" t="n">
        <v>12</v>
      </c>
      <c r="L10" s="4" t="inlineStr">
        <is>
          <t>6</t>
        </is>
      </c>
      <c r="M10" s="4" t="n">
        <v>102.36</v>
      </c>
      <c r="N10" s="4" t="n">
        <v>104.38</v>
      </c>
      <c r="O10" s="4" t="n">
        <v>103.84</v>
      </c>
      <c r="P10" s="4" t="n">
        <v>113.04</v>
      </c>
      <c r="Q10" s="4" t="n">
        <v>104.03</v>
      </c>
      <c r="R10" s="4">
        <f>IF(COUNT(M10:Q10)=0,"",MEDIAN(M10:Q10))</f>
        <v/>
      </c>
      <c r="S10" s="4">
        <f>IF(COUNT(M10:Q10)=0,"",AVERAGE(M10:Q10))</f>
        <v/>
      </c>
      <c r="T10" s="7">
        <f>IF(COUNT(M10:Q10)&lt;2,"",STDEV.S(M10:Q10)/S10)</f>
        <v/>
      </c>
      <c r="U10" s="4">
        <f>R10*F10</f>
        <v/>
      </c>
      <c r="V10" s="4">
        <f>R10*H10</f>
        <v/>
      </c>
      <c r="W10" s="4" t="inlineStr">
        <is>
          <t>r6</t>
        </is>
      </c>
      <c r="X10" s="4" t="n">
        <v>104.03</v>
      </c>
      <c r="Y10" s="5">
        <f>IFERROR(R10/X10,"")</f>
        <v/>
      </c>
      <c r="Z10" s="7">
        <f>IF(Y10="","",1-Y10)</f>
        <v/>
      </c>
      <c r="AA10" s="4" t="inlineStr">
        <is>
          <t>0/5</t>
        </is>
      </c>
      <c r="AB10" s="4" t="inlineStr">
        <is>
          <t>baseline</t>
        </is>
      </c>
      <c r="AC10" s="4" t="inlineStr">
        <is>
          <t>active GPU-s winner</t>
        </is>
      </c>
      <c r="AD10" s="4" t="inlineStr">
        <is>
          <t>PASS</t>
        </is>
      </c>
      <c r="AE10" s="4" t="inlineStr">
        <is>
          <t>Resource trade-off candidate</t>
        </is>
      </c>
      <c r="AF10" s="4" t="inlineStr">
        <is>
          <t>/work/austinhpc25/hipac26-qe-runs/sweeps/g4x/type-b/B1-si1000-gamma/e003-single-node-confirmation/job-219031/raw-verification-v2</t>
        </is>
      </c>
    </row>
    <row r="11">
      <c r="A11" s="4" t="inlineStr">
        <is>
          <t>e003</t>
        </is>
      </c>
      <c r="B11" s="4" t="n">
        <v>219031</v>
      </c>
      <c r="C11" s="4" t="inlineStr">
        <is>
          <t>independent confirmation</t>
        </is>
      </c>
      <c r="D11" s="4" t="inlineStr">
        <is>
          <t>r8</t>
        </is>
      </c>
      <c r="E11" s="4" t="inlineStr">
        <is>
          <t>eight active GPUs</t>
        </is>
      </c>
      <c r="F11" s="4" t="n">
        <v>8</v>
      </c>
      <c r="G11" s="4" t="n">
        <v>1</v>
      </c>
      <c r="H11" s="4" t="n">
        <v>8</v>
      </c>
      <c r="I11" s="4" t="n">
        <v>8</v>
      </c>
      <c r="J11" s="4" t="n">
        <v>1</v>
      </c>
      <c r="K11" s="4" t="n">
        <v>12</v>
      </c>
      <c r="L11" s="4" t="inlineStr">
        <is>
          <t>8</t>
        </is>
      </c>
      <c r="M11" s="4" t="n">
        <v>82.15000000000001</v>
      </c>
      <c r="N11" s="4" t="n">
        <v>92.62</v>
      </c>
      <c r="O11" s="4" t="n">
        <v>81.73</v>
      </c>
      <c r="P11" s="4" t="n">
        <v>82.70999999999999</v>
      </c>
      <c r="Q11" s="4" t="n">
        <v>83.41</v>
      </c>
      <c r="R11" s="4">
        <f>IF(COUNT(M11:Q11)=0,"",MEDIAN(M11:Q11))</f>
        <v/>
      </c>
      <c r="S11" s="4">
        <f>IF(COUNT(M11:Q11)=0,"",AVERAGE(M11:Q11))</f>
        <v/>
      </c>
      <c r="T11" s="7">
        <f>IF(COUNT(M11:Q11)&lt;2,"",STDEV.S(M11:Q11)/S11)</f>
        <v/>
      </c>
      <c r="U11" s="4">
        <f>R11*F11</f>
        <v/>
      </c>
      <c r="V11" s="4">
        <f>R11*H11</f>
        <v/>
      </c>
      <c r="W11" s="4" t="inlineStr">
        <is>
          <t>r6</t>
        </is>
      </c>
      <c r="X11" s="4" t="n">
        <v>104.03</v>
      </c>
      <c r="Y11" s="5">
        <f>IFERROR(R11/X11,"")</f>
        <v/>
      </c>
      <c r="Z11" s="7">
        <f>IF(Y11="","",1-Y11)</f>
        <v/>
      </c>
      <c r="AA11" s="4" t="inlineStr">
        <is>
          <t>5/5</t>
        </is>
      </c>
      <c r="AB11" s="4" t="inlineStr">
        <is>
          <t>winner</t>
        </is>
      </c>
      <c r="AC11" s="4" t="inlineStr">
        <is>
          <t>allocated GPU-s winner</t>
        </is>
      </c>
      <c r="AD11" s="4" t="inlineStr">
        <is>
          <t>PASS</t>
        </is>
      </c>
      <c r="AE11" s="4" t="inlineStr">
        <is>
          <t>Confirmed latency winner</t>
        </is>
      </c>
      <c r="AF11" s="4" t="inlineStr">
        <is>
          <t>/work/austinhpc25/hipac26-qe-runs/sweeps/g4x/type-b/B1-si1000-gamma/e003-single-node-confirmation/job-219031/raw-verification-v2</t>
        </is>
      </c>
    </row>
    <row r="12">
      <c r="A12" s="4" t="inlineStr">
        <is>
          <t>e004</t>
        </is>
      </c>
      <c r="B12" s="4" t="n">
        <v>219063</v>
      </c>
      <c r="C12" s="4" t="inlineStr">
        <is>
          <t>node-boundary confirmation</t>
        </is>
      </c>
      <c r="D12" s="4" t="inlineStr">
        <is>
          <t>r8</t>
        </is>
      </c>
      <c r="E12" s="4" t="inlineStr">
        <is>
          <t>one active node inside two-node job</t>
        </is>
      </c>
      <c r="F12" s="4" t="n">
        <v>8</v>
      </c>
      <c r="G12" s="4" t="n">
        <v>1</v>
      </c>
      <c r="H12" s="4" t="n">
        <v>16</v>
      </c>
      <c r="I12" s="4" t="n">
        <v>8</v>
      </c>
      <c r="J12" s="4" t="n">
        <v>1</v>
      </c>
      <c r="K12" s="4" t="n">
        <v>12</v>
      </c>
      <c r="L12" s="4" t="inlineStr">
        <is>
          <t>8</t>
        </is>
      </c>
      <c r="M12" s="4" t="n">
        <v>87.73</v>
      </c>
      <c r="N12" s="4" t="n">
        <v>87.72</v>
      </c>
      <c r="O12" s="4" t="n">
        <v>87.45</v>
      </c>
      <c r="P12" s="4" t="n">
        <v>86.62</v>
      </c>
      <c r="Q12" s="4" t="n">
        <v>83.98</v>
      </c>
      <c r="R12" s="4">
        <f>IF(COUNT(M12:Q12)=0,"",MEDIAN(M12:Q12))</f>
        <v/>
      </c>
      <c r="S12" s="4">
        <f>IF(COUNT(M12:Q12)=0,"",AVERAGE(M12:Q12))</f>
        <v/>
      </c>
      <c r="T12" s="7">
        <f>IF(COUNT(M12:Q12)&lt;2,"",STDEV.S(M12:Q12)/S12)</f>
        <v/>
      </c>
      <c r="U12" s="4">
        <f>R12*F12</f>
        <v/>
      </c>
      <c r="V12" s="4">
        <f>R12*H12</f>
        <v/>
      </c>
      <c r="W12" s="4" t="inlineStr">
        <is>
          <t>r8</t>
        </is>
      </c>
      <c r="X12" s="4" t="n">
        <v>87.45</v>
      </c>
      <c r="Y12" s="5">
        <f>IFERROR(R12/X12,"")</f>
        <v/>
      </c>
      <c r="Z12" s="7">
        <f>IF(Y12="","",1-Y12)</f>
        <v/>
      </c>
      <c r="AA12" s="4" t="inlineStr">
        <is>
          <t>5/5</t>
        </is>
      </c>
      <c r="AB12" s="4" t="inlineStr">
        <is>
          <t>winner</t>
        </is>
      </c>
      <c r="AC12" s="4" t="inlineStr">
        <is>
          <t>active GPU-s winner</t>
        </is>
      </c>
      <c r="AD12" s="4" t="inlineStr">
        <is>
          <t>PASS</t>
        </is>
      </c>
      <c r="AE12" s="4" t="inlineStr">
        <is>
          <t>Frozen B1 candidate</t>
        </is>
      </c>
      <c r="AF12" s="4" t="inlineStr">
        <is>
          <t>/work/austinhpc25/hipac26-qe-runs/sweeps/g4x/type-b/B1-si1000-gamma/e004-node-boundary-confirmation/job-219063/raw-verification-v2</t>
        </is>
      </c>
    </row>
    <row r="13">
      <c r="A13" s="4" t="inlineStr">
        <is>
          <t>e004</t>
        </is>
      </c>
      <c r="B13" s="4" t="n">
        <v>219063</v>
      </c>
      <c r="C13" s="4" t="inlineStr">
        <is>
          <t>node-boundary confirmation</t>
        </is>
      </c>
      <c r="D13" s="4" t="inlineStr">
        <is>
          <t>r16</t>
        </is>
      </c>
      <c r="E13" s="4" t="inlineStr">
        <is>
          <t>two active nodes; 8+8</t>
        </is>
      </c>
      <c r="F13" s="4" t="n">
        <v>16</v>
      </c>
      <c r="G13" s="4" t="n">
        <v>2</v>
      </c>
      <c r="H13" s="4" t="n">
        <v>16</v>
      </c>
      <c r="I13" s="4" t="n">
        <v>16</v>
      </c>
      <c r="J13" s="4" t="n">
        <v>1</v>
      </c>
      <c r="K13" s="4" t="n">
        <v>12</v>
      </c>
      <c r="L13" s="4" t="inlineStr">
        <is>
          <t>8+8</t>
        </is>
      </c>
      <c r="M13" s="4" t="n">
        <v>107.45</v>
      </c>
      <c r="N13" s="4" t="n">
        <v>113.33</v>
      </c>
      <c r="O13" s="4" t="n">
        <v>111.29</v>
      </c>
      <c r="P13" s="4" t="n">
        <v>110.45</v>
      </c>
      <c r="Q13" s="4" t="n">
        <v>109.56</v>
      </c>
      <c r="R13" s="4">
        <f>IF(COUNT(M13:Q13)=0,"",MEDIAN(M13:Q13))</f>
        <v/>
      </c>
      <c r="S13" s="4">
        <f>IF(COUNT(M13:Q13)=0,"",AVERAGE(M13:Q13))</f>
        <v/>
      </c>
      <c r="T13" s="7">
        <f>IF(COUNT(M13:Q13)&lt;2,"",STDEV.S(M13:Q13)/S13)</f>
        <v/>
      </c>
      <c r="U13" s="4">
        <f>R13*F13</f>
        <v/>
      </c>
      <c r="V13" s="4">
        <f>R13*H13</f>
        <v/>
      </c>
      <c r="W13" s="4" t="inlineStr">
        <is>
          <t>r8</t>
        </is>
      </c>
      <c r="X13" s="4" t="n">
        <v>87.45</v>
      </c>
      <c r="Y13" s="5">
        <f>IFERROR(R13/X13,"")</f>
        <v/>
      </c>
      <c r="Z13" s="7">
        <f>IF(Y13="","",1-Y13)</f>
        <v/>
      </c>
      <c r="AA13" s="4" t="inlineStr">
        <is>
          <t>0/5</t>
        </is>
      </c>
      <c r="AB13" s="4" t="inlineStr">
        <is>
          <t>loser</t>
        </is>
      </c>
      <c r="AC13" s="4" t="inlineStr">
        <is>
          <t>2.5x active GPU-s class</t>
        </is>
      </c>
      <c r="AD13" s="4" t="inlineStr">
        <is>
          <t>PASS</t>
        </is>
      </c>
      <c r="AE13" s="4" t="inlineStr">
        <is>
          <t>Cross-node negative scaling</t>
        </is>
      </c>
      <c r="AF13" s="4" t="inlineStr">
        <is>
          <t>/work/austinhpc25/hipac26-qe-runs/sweeps/g4x/type-b/B1-si1000-gamma/e004-node-boundary-confirmation/job-219063/raw-verification-v2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>
      <c r="A35" s="8" t="inlineStr">
        <is>
          <t>B1 Frozen Configuration</t>
        </is>
      </c>
    </row>
    <row r="36">
      <c r="A36" s="9" t="inlineStr">
        <is>
          <t>Decision</t>
        </is>
      </c>
      <c r="B36" s="4" t="inlineStr">
        <is>
          <t>FROZEN_R8_ONE_NODE</t>
        </is>
      </c>
    </row>
    <row r="37">
      <c r="A37" s="9" t="inlineStr">
        <is>
          <t>Build</t>
        </is>
      </c>
      <c r="B37" s="4" t="inlineStr">
        <is>
          <t>G4X</t>
        </is>
      </c>
    </row>
    <row r="38">
      <c r="A38" s="9" t="inlineStr">
        <is>
          <t>nk</t>
        </is>
      </c>
      <c r="B38" s="4" t="n">
        <v>1</v>
      </c>
    </row>
    <row r="39">
      <c r="A39" s="9" t="inlineStr">
        <is>
          <t>MPI ranks</t>
        </is>
      </c>
      <c r="B39" s="4" t="n">
        <v>8</v>
      </c>
    </row>
    <row r="40">
      <c r="A40" s="9" t="inlineStr">
        <is>
          <t>Active GPUs</t>
        </is>
      </c>
      <c r="B40" s="4" t="n">
        <v>8</v>
      </c>
    </row>
    <row r="41">
      <c r="A41" s="9" t="inlineStr">
        <is>
          <t>Nodes</t>
        </is>
      </c>
      <c r="B41" s="4" t="n">
        <v>1</v>
      </c>
    </row>
    <row r="42">
      <c r="A42" s="9" t="inlineStr">
        <is>
          <t>OMP threads</t>
        </is>
      </c>
      <c r="B42" s="4" t="n">
        <v>12</v>
      </c>
    </row>
    <row r="43">
      <c r="A43" s="9" t="inlineStr">
        <is>
          <t>Layout</t>
        </is>
      </c>
      <c r="B43" s="4" t="inlineStr">
        <is>
          <t>8</t>
        </is>
      </c>
    </row>
    <row r="44">
      <c r="A44" s="9" t="inlineStr">
        <is>
          <t>Mapping</t>
        </is>
      </c>
      <c r="B44" s="4" t="inlineStr">
        <is>
          <t>one MPI rank per active GPU</t>
        </is>
      </c>
    </row>
    <row r="45">
      <c r="A45" s="9" t="inlineStr">
        <is>
          <t>Accepted B1 QE trials</t>
        </is>
      </c>
      <c r="B45" s="4" t="n">
        <v>39</v>
      </c>
    </row>
    <row r="46">
      <c r="A46" s="9" t="inlineStr">
        <is>
          <t>e002+e003 paired wins</t>
        </is>
      </c>
      <c r="B46" s="4" t="inlineStr">
        <is>
          <t>r8 10/10</t>
        </is>
      </c>
    </row>
    <row r="47">
      <c r="A47" s="9" t="inlineStr">
        <is>
          <t>e004 paired wins</t>
        </is>
      </c>
      <c r="B47" s="4" t="inlineStr">
        <is>
          <t>r8 5/5</t>
        </is>
      </c>
    </row>
  </sheetData>
  <autoFilter ref="A4:AF13"/>
  <mergeCells count="3">
    <mergeCell ref="A1:AF1"/>
    <mergeCell ref="A35:E35"/>
    <mergeCell ref="A2:AF2"/>
  </mergeCells>
  <conditionalFormatting sqref="R5:R13">
    <cfRule type="colorScale" priority="1">
      <colorScale>
        <cfvo type="min"/>
        <cfvo type="percentile" val="50"/>
        <cfvo type="max"/>
        <color rgb="00E2F0D9"/>
        <color rgb="00FFF2CC"/>
        <color rgb="00FCE4D6"/>
      </colorScale>
    </cfRule>
  </conditionalFormatting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13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55" customWidth="1" min="12" max="12"/>
  </cols>
  <sheetData>
    <row r="1" ht="28" customHeight="1">
      <c r="A1" s="1" t="inlineStr">
        <is>
          <t>G1p vs G4Xp Profiling Summary</t>
        </is>
      </c>
    </row>
    <row r="2" ht="34" customHeight="1">
      <c r="A2" s="2" t="inlineStr">
        <is>
          <t>Diagnostic only；profiler-active wall time 不是 formal runtime evidence。</t>
        </is>
      </c>
    </row>
    <row r="3"/>
    <row r="4" ht="34" customHeight="1">
      <c r="A4" s="3" t="inlineStr">
        <is>
          <t>Type</t>
        </is>
      </c>
      <c r="B4" s="3" t="inlineStr">
        <is>
          <t>Case</t>
        </is>
      </c>
      <c r="C4" s="3" t="inlineStr">
        <is>
          <t>G1p Wall</t>
        </is>
      </c>
      <c r="D4" s="3" t="inlineStr">
        <is>
          <t>G4Xp Wall</t>
        </is>
      </c>
      <c r="E4" s="3" t="inlineStr">
        <is>
          <t>G1p Kernel</t>
        </is>
      </c>
      <c r="F4" s="3" t="inlineStr">
        <is>
          <t>G4Xp Kernel</t>
        </is>
      </c>
      <c r="G4" s="3" t="inlineStr">
        <is>
          <t>G1p H2D</t>
        </is>
      </c>
      <c r="H4" s="3" t="inlineStr">
        <is>
          <t>G4Xp H2D</t>
        </is>
      </c>
      <c r="I4" s="3" t="inlineStr">
        <is>
          <t>H2D Reduction</t>
        </is>
      </c>
      <c r="J4" s="3" t="inlineStr">
        <is>
          <t>G1p D2H</t>
        </is>
      </c>
      <c r="K4" s="3" t="inlineStr">
        <is>
          <t>G4Xp D2H</t>
        </is>
      </c>
      <c r="L4" s="3" t="inlineStr">
        <is>
          <t>Interpretation</t>
        </is>
      </c>
    </row>
    <row r="5">
      <c r="A5" s="4" t="inlineStr">
        <is>
          <t>A</t>
        </is>
      </c>
      <c r="B5" s="4" t="inlineStr">
        <is>
          <t>typeA-au111-manyk</t>
        </is>
      </c>
      <c r="C5" s="4" t="n">
        <v>35.07</v>
      </c>
      <c r="D5" s="4" t="n">
        <v>21.56</v>
      </c>
      <c r="E5" s="4" t="n">
        <v>6.13</v>
      </c>
      <c r="F5" s="4" t="n">
        <v>6.31</v>
      </c>
      <c r="G5" s="4" t="n">
        <v>95.84999999999999</v>
      </c>
      <c r="H5" s="4" t="n">
        <v>12.81</v>
      </c>
      <c r="I5" s="6">
        <f>1-H5/G5</f>
        <v/>
      </c>
      <c r="J5" s="4" t="n">
        <v>93.25</v>
      </c>
      <c r="K5" s="4" t="n">
        <v>10.21</v>
      </c>
      <c r="L5" s="4" t="inlineStr">
        <is>
          <t>Kernel similar; host-device traffic lower; GPU-side movement higher</t>
        </is>
      </c>
    </row>
    <row r="6">
      <c r="A6" s="4" t="inlineStr">
        <is>
          <t>B</t>
        </is>
      </c>
      <c r="B6" s="4" t="inlineStr">
        <is>
          <t>typeB-si1000-gamma</t>
        </is>
      </c>
      <c r="C6" s="4" t="n">
        <v>459.73</v>
      </c>
      <c r="D6" s="4" t="n">
        <v>105.03</v>
      </c>
      <c r="E6" s="4" t="n">
        <v>23.39</v>
      </c>
      <c r="F6" s="4" t="n">
        <v>24.1</v>
      </c>
      <c r="G6" s="4" t="n">
        <v>315.82</v>
      </c>
      <c r="H6" s="4" t="n">
        <v>29.92</v>
      </c>
      <c r="I6" s="6">
        <f>1-H6/G6</f>
        <v/>
      </c>
      <c r="J6" s="4" t="n">
        <v>298.44</v>
      </c>
      <c r="K6" s="4" t="n">
        <v>14.27</v>
      </c>
      <c r="L6" s="4" t="inlineStr">
        <is>
          <t>Kernel similar; host-device traffic lower; GPU-side movement higher</t>
        </is>
      </c>
    </row>
  </sheetData>
  <mergeCells count="2">
    <mergeCell ref="A2:L2"/>
    <mergeCell ref="A1:L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11" customWidth="1" min="4" max="4"/>
    <col width="20" customWidth="1" min="5" max="5"/>
    <col width="43" customWidth="1" min="6" max="6"/>
    <col width="18" customWidth="1" min="7" max="7"/>
    <col width="12" customWidth="1" min="8" max="8"/>
    <col width="29" customWidth="1" min="9" max="9"/>
    <col width="29" customWidth="1" min="10" max="10"/>
    <col width="29" customWidth="1" min="11" max="11"/>
  </cols>
  <sheetData>
    <row r="1" ht="28" customHeight="1">
      <c r="A1" s="1" t="inlineStr">
        <is>
          <t>Incident and Recovery Ledger</t>
        </is>
      </c>
    </row>
    <row r="2" ht="34" customHeight="1">
      <c r="A2" s="2" t="inlineStr">
        <is>
          <t>Scheduler、QE execution、post-processing 與 scientific validity 分開分類。</t>
        </is>
      </c>
    </row>
    <row r="3"/>
    <row r="4" ht="34" customHeight="1">
      <c r="A4" s="3" t="inlineStr">
        <is>
          <t>Job</t>
        </is>
      </c>
      <c r="B4" s="3" t="inlineStr">
        <is>
          <t>Experiment</t>
        </is>
      </c>
      <c r="C4" s="3" t="inlineStr">
        <is>
          <t>Scheduler</t>
        </is>
      </c>
      <c r="D4" s="3" t="inlineStr">
        <is>
          <t>QE Runs</t>
        </is>
      </c>
      <c r="E4" s="3" t="inlineStr">
        <is>
          <t>Failure Layer</t>
        </is>
      </c>
      <c r="F4" s="3" t="inlineStr">
        <is>
          <t>Root Cause</t>
        </is>
      </c>
      <c r="G4" s="3" t="inlineStr">
        <is>
          <t>Scientific Data</t>
        </is>
      </c>
      <c r="H4" s="3" t="inlineStr">
        <is>
          <t>QE Rerun</t>
        </is>
      </c>
      <c r="I4" s="3" t="inlineStr">
        <is>
          <t>Recovery</t>
        </is>
      </c>
      <c r="J4" s="3" t="inlineStr">
        <is>
          <t>Outcome</t>
        </is>
      </c>
      <c r="K4" s="3" t="inlineStr">
        <is>
          <t>Notes</t>
        </is>
      </c>
    </row>
    <row r="5">
      <c r="A5" s="4" t="n">
        <v>200733</v>
      </c>
      <c r="B5" s="4" t="inlineStr">
        <is>
          <t>B1 e001</t>
        </is>
      </c>
      <c r="C5" s="4" t="inlineStr">
        <is>
          <t>FAILED</t>
        </is>
      </c>
      <c r="D5" s="4" t="n">
        <v>9</v>
      </c>
      <c r="E5" s="4" t="inlineStr">
        <is>
          <t>collector</t>
        </is>
      </c>
      <c r="F5" s="4" t="inlineStr">
        <is>
          <t>1e-8 tolerance stricter than B1 threshold</t>
        </is>
      </c>
      <c r="G5" s="4" t="inlineStr">
        <is>
          <t>VALID</t>
        </is>
      </c>
      <c r="H5" s="4" t="inlineStr">
        <is>
          <t>NO</t>
        </is>
      </c>
      <c r="I5" s="4" t="inlineStr">
        <is>
          <t>raw verification</t>
        </is>
      </c>
      <c r="J5" s="4" t="inlineStr">
        <is>
          <t>r8 coarse latency winner</t>
        </is>
      </c>
      <c r="K5" s="4" t="inlineStr">
        <is>
          <t>Slurm FAILED ≠ QE failure</t>
        </is>
      </c>
    </row>
    <row r="6">
      <c r="A6" s="4" t="n">
        <v>203322</v>
      </c>
      <c r="B6" s="4" t="inlineStr">
        <is>
          <t>A1 e002 initial</t>
        </is>
      </c>
      <c r="C6" s="4" t="inlineStr">
        <is>
          <t>FAILED</t>
        </is>
      </c>
      <c r="D6" s="4" t="n">
        <v>0</v>
      </c>
      <c r="E6" s="4" t="inlineStr">
        <is>
          <t>infrastructure</t>
        </is>
      </c>
      <c r="F6" s="4" t="inlineStr">
        <is>
          <t>runtime helper discovery failed</t>
        </is>
      </c>
      <c r="G6" s="4" t="inlineStr">
        <is>
          <t>INVALID</t>
        </is>
      </c>
      <c r="H6" s="4" t="inlineStr">
        <is>
          <t>YES</t>
        </is>
      </c>
      <c r="I6" s="4" t="inlineStr">
        <is>
          <t>standalone bundle</t>
        </is>
      </c>
      <c r="J6" s="4" t="inlineStr">
        <is>
          <t>replaced by 203455</t>
        </is>
      </c>
      <c r="K6" s="4" t="inlineStr">
        <is>
          <t>no QE evidence</t>
        </is>
      </c>
    </row>
    <row r="7">
      <c r="A7" s="4" t="n">
        <v>203455</v>
      </c>
      <c r="B7" s="4" t="inlineStr">
        <is>
          <t>A1 e002 retry</t>
        </is>
      </c>
      <c r="C7" s="4" t="inlineStr">
        <is>
          <t>FAILED</t>
        </is>
      </c>
      <c r="D7" s="4" t="n">
        <v>6</v>
      </c>
      <c r="E7" s="4" t="inlineStr">
        <is>
          <t>parser package</t>
        </is>
      </c>
      <c r="F7" s="4" t="inlineStr">
        <is>
          <t>qe_convergence.py omitted</t>
        </is>
      </c>
      <c r="G7" s="4" t="inlineStr">
        <is>
          <t>VALID</t>
        </is>
      </c>
      <c r="H7" s="4" t="inlineStr">
        <is>
          <t>NO</t>
        </is>
      </c>
      <c r="I7" s="4" t="inlineStr">
        <is>
          <t>offline raw recovery</t>
        </is>
      </c>
      <c r="J7" s="4" t="inlineStr">
        <is>
          <t>r14 winner retained</t>
        </is>
      </c>
      <c r="K7" s="4" t="inlineStr">
        <is>
          <t>QE valid</t>
        </is>
      </c>
    </row>
    <row r="8">
      <c r="A8" s="4" t="n">
        <v>203925</v>
      </c>
      <c r="B8" s="4" t="inlineStr">
        <is>
          <t>A1 e004</t>
        </is>
      </c>
      <c r="C8" s="4" t="inlineStr">
        <is>
          <t>COMPLETED 0:0</t>
        </is>
      </c>
      <c r="D8" s="4" t="n">
        <v>10</v>
      </c>
      <c r="E8" s="4" t="inlineStr">
        <is>
          <t>offline verifier</t>
        </is>
      </c>
      <c r="F8" s="4" t="inlineStr">
        <is>
          <t>energy count hard-coded to six</t>
        </is>
      </c>
      <c r="G8" s="4" t="inlineStr">
        <is>
          <t>VALID</t>
        </is>
      </c>
      <c r="H8" s="4" t="inlineStr">
        <is>
          <t>NO</t>
        </is>
      </c>
      <c r="I8" s="4" t="inlineStr">
        <is>
          <t>verifier corrected</t>
        </is>
      </c>
      <c r="J8" s="4" t="inlineStr">
        <is>
          <t>Type A frozen</t>
        </is>
      </c>
      <c r="K8" s="4" t="inlineStr">
        <is>
          <t>raw output unchanged</t>
        </is>
      </c>
    </row>
    <row r="9">
      <c r="A9" s="4" t="n">
        <v>218990</v>
      </c>
      <c r="B9" s="4" t="inlineStr">
        <is>
          <t>B1 e002 smoke</t>
        </is>
      </c>
      <c r="C9" s="4" t="inlineStr">
        <is>
          <t>COMPLETED 0:0</t>
        </is>
      </c>
      <c r="D9" s="4" t="n">
        <v>0</v>
      </c>
      <c r="E9" s="4" t="inlineStr">
        <is>
          <t>none</t>
        </is>
      </c>
      <c r="F9" s="4" t="inlineStr">
        <is>
          <t>launcher mapping validation</t>
        </is>
      </c>
      <c r="G9" s="4" t="inlineStr">
        <is>
          <t>N/A</t>
        </is>
      </c>
      <c r="H9" s="4" t="inlineStr">
        <is>
          <t>NO</t>
        </is>
      </c>
      <c r="I9" s="4" t="inlineStr">
        <is>
          <t>r6/r8 mappings passed</t>
        </is>
      </c>
      <c r="J9" s="4" t="inlineStr">
        <is>
          <t>authorized e002</t>
        </is>
      </c>
      <c r="K9" s="4" t="inlineStr">
        <is>
          <t>no QE</t>
        </is>
      </c>
    </row>
    <row r="10">
      <c r="A10" s="4" t="n">
        <v>218992</v>
      </c>
      <c r="B10" s="4" t="inlineStr">
        <is>
          <t>B1 e002</t>
        </is>
      </c>
      <c r="C10" s="4" t="inlineStr">
        <is>
          <t>COMPLETED 0:0</t>
        </is>
      </c>
      <c r="D10" s="4" t="n">
        <v>10</v>
      </c>
      <c r="E10" s="4" t="inlineStr">
        <is>
          <t>none</t>
        </is>
      </c>
      <c r="F10" s="4" t="inlineStr">
        <is>
          <t>all gates passed</t>
        </is>
      </c>
      <c r="G10" s="4" t="inlineStr">
        <is>
          <t>VALID</t>
        </is>
      </c>
      <c r="H10" s="4" t="inlineStr">
        <is>
          <t>NO</t>
        </is>
      </c>
      <c r="I10" s="4" t="inlineStr">
        <is>
          <t>accepted</t>
        </is>
      </c>
      <c r="J10" s="4" t="inlineStr">
        <is>
          <t>r8 preliminary winner</t>
        </is>
      </c>
      <c r="K10" s="4" t="inlineStr">
        <is>
          <t>10/10</t>
        </is>
      </c>
    </row>
    <row r="11">
      <c r="A11" s="4" t="n">
        <v>219031</v>
      </c>
      <c r="B11" s="4" t="inlineStr">
        <is>
          <t>B1 e003</t>
        </is>
      </c>
      <c r="C11" s="4" t="inlineStr">
        <is>
          <t>COMPLETED 0:0</t>
        </is>
      </c>
      <c r="D11" s="4" t="n">
        <v>10</v>
      </c>
      <c r="E11" s="4" t="inlineStr">
        <is>
          <t>reporting gate</t>
        </is>
      </c>
      <c r="F11" s="4" t="inlineStr">
        <is>
          <t>incorrectly required same latency and active-GPU-s winner</t>
        </is>
      </c>
      <c r="G11" s="4" t="inlineStr">
        <is>
          <t>VALID</t>
        </is>
      </c>
      <c r="H11" s="4" t="inlineStr">
        <is>
          <t>NO</t>
        </is>
      </c>
      <c r="I11" s="4" t="inlineStr">
        <is>
          <t>gate corrected</t>
        </is>
      </c>
      <c r="J11" s="4" t="inlineStr">
        <is>
          <t>CONFIRMED_R8</t>
        </is>
      </c>
      <c r="K11" s="4" t="inlineStr">
        <is>
          <t>r6 active GPU-s winner</t>
        </is>
      </c>
    </row>
    <row r="12">
      <c r="A12" s="4" t="n">
        <v>219063</v>
      </c>
      <c r="B12" s="4" t="inlineStr">
        <is>
          <t>B1 e004</t>
        </is>
      </c>
      <c r="C12" s="4" t="inlineStr">
        <is>
          <t>COMPLETED 0:0</t>
        </is>
      </c>
      <c r="D12" s="4" t="n">
        <v>10</v>
      </c>
      <c r="E12" s="4" t="inlineStr">
        <is>
          <t>none</t>
        </is>
      </c>
      <c r="F12" s="4" t="inlineStr">
        <is>
          <t>all layout and raw gates passed</t>
        </is>
      </c>
      <c r="G12" s="4" t="inlineStr">
        <is>
          <t>VALID</t>
        </is>
      </c>
      <c r="H12" s="4" t="inlineStr">
        <is>
          <t>NO</t>
        </is>
      </c>
      <c r="I12" s="4" t="inlineStr">
        <is>
          <t>accepted</t>
        </is>
      </c>
      <c r="J12" s="4" t="inlineStr">
        <is>
          <t>FROZEN_R8_ONE_NODE</t>
        </is>
      </c>
      <c r="K12" s="4" t="inlineStr">
        <is>
          <t>10/10</t>
        </is>
      </c>
    </row>
  </sheetData>
  <autoFilter ref="A4:K12"/>
  <mergeCells count="2">
    <mergeCell ref="A2:K2"/>
    <mergeCell ref="A1:K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7" customWidth="1" min="3" max="3"/>
    <col width="78" customWidth="1" min="4" max="4"/>
    <col width="15" customWidth="1" min="5" max="5"/>
    <col width="22" customWidth="1" min="6" max="6"/>
    <col width="34" customWidth="1" min="7" max="7"/>
  </cols>
  <sheetData>
    <row r="1" ht="28" customHeight="1">
      <c r="A1" s="1" t="inlineStr">
        <is>
          <t>Evidence Index</t>
        </is>
      </c>
    </row>
    <row r="2" ht="34" customHeight="1">
      <c r="A2" s="2" t="inlineStr">
        <is>
          <t>Repository files and authoritative raw-verification directories.</t>
        </is>
      </c>
    </row>
    <row r="3"/>
    <row r="4" ht="34" customHeight="1">
      <c r="A4" s="3" t="inlineStr">
        <is>
          <t>Scope</t>
        </is>
      </c>
      <c r="B4" s="3" t="inlineStr">
        <is>
          <t>Artifact</t>
        </is>
      </c>
      <c r="C4" s="3" t="inlineStr">
        <is>
          <t>Job / Identity</t>
        </is>
      </c>
      <c r="D4" s="3" t="inlineStr">
        <is>
          <t>Path</t>
        </is>
      </c>
      <c r="E4" s="3" t="inlineStr">
        <is>
          <t>Status</t>
        </is>
      </c>
      <c r="F4" s="3" t="inlineStr">
        <is>
          <t>Authority</t>
        </is>
      </c>
      <c r="G4" s="3" t="inlineStr">
        <is>
          <t>Claim Boundary</t>
        </is>
      </c>
    </row>
    <row r="5">
      <c r="A5" s="4" t="inlineStr">
        <is>
          <t>Repository</t>
        </is>
      </c>
      <c r="B5" s="4" t="inlineStr">
        <is>
          <t>Scientific source</t>
        </is>
      </c>
      <c r="C5" s="4" t="inlineStr">
        <is>
          <t>71edc17</t>
        </is>
      </c>
      <c r="D5" s="4" t="inlineStr">
        <is>
          <t>71edc1780c145a1b0642848794914689ea146eb5</t>
        </is>
      </c>
      <c r="E5" s="4" t="inlineStr">
        <is>
          <t>PASS</t>
        </is>
      </c>
      <c r="F5" s="4" t="inlineStr">
        <is>
          <t>Git</t>
        </is>
      </c>
      <c r="G5" s="4" t="inlineStr">
        <is>
          <t>case-level frozen evidence</t>
        </is>
      </c>
    </row>
    <row r="6">
      <c r="A6" s="4" t="inlineStr">
        <is>
          <t>Type A</t>
        </is>
      </c>
      <c r="B6" s="4" t="inlineStr">
        <is>
          <t>Frozen launch</t>
        </is>
      </c>
      <c r="C6" s="4" t="inlineStr">
        <is>
          <t>A1</t>
        </is>
      </c>
      <c r="D6" s="4" t="inlineStr">
        <is>
          <t>scripts/run/sweeps/g4x/type-a/A1-au111-manyk/frozen-launch.env</t>
        </is>
      </c>
      <c r="E6" s="4" t="inlineStr">
        <is>
          <t>FROZEN</t>
        </is>
      </c>
      <c r="F6" s="4" t="inlineStr">
        <is>
          <t>repository</t>
        </is>
      </c>
      <c r="G6" s="4" t="inlineStr">
        <is>
          <t>A1 only</t>
        </is>
      </c>
    </row>
    <row r="7">
      <c r="A7" s="4" t="inlineStr">
        <is>
          <t>Type B</t>
        </is>
      </c>
      <c r="B7" s="4" t="inlineStr">
        <is>
          <t>Frozen launch</t>
        </is>
      </c>
      <c r="C7" s="4" t="inlineStr">
        <is>
          <t>B1</t>
        </is>
      </c>
      <c r="D7" s="4" t="inlineStr">
        <is>
          <t>scripts/run/sweeps/g4x/type-b/B1-si1000-gamma/frozen-launch.env</t>
        </is>
      </c>
      <c r="E7" s="4" t="inlineStr">
        <is>
          <t>FROZEN</t>
        </is>
      </c>
      <c r="F7" s="4" t="inlineStr">
        <is>
          <t>repository</t>
        </is>
      </c>
      <c r="G7" s="4" t="inlineStr">
        <is>
          <t>B1 only</t>
        </is>
      </c>
    </row>
    <row r="8">
      <c r="A8" s="4" t="inlineStr">
        <is>
          <t>Type B</t>
        </is>
      </c>
      <c r="B8" s="4" t="inlineStr">
        <is>
          <t>e001 raw</t>
        </is>
      </c>
      <c r="C8" s="4" t="n">
        <v>200733</v>
      </c>
      <c r="D8" s="4" t="inlineStr">
        <is>
          <t>/work/austinhpc25/hipac26-qe-runs/g4x-sweeps/type_b_gpu_scaling/job-200733/raw-verification-v2</t>
        </is>
      </c>
      <c r="E8" s="4" t="inlineStr">
        <is>
          <t>PASS</t>
        </is>
      </c>
      <c r="F8" s="4" t="inlineStr">
        <is>
          <t>raw-verification-v2</t>
        </is>
      </c>
      <c r="G8" s="4" t="inlineStr">
        <is>
          <t>recovered evidence</t>
        </is>
      </c>
    </row>
    <row r="9">
      <c r="A9" s="4" t="inlineStr">
        <is>
          <t>Type B</t>
        </is>
      </c>
      <c r="B9" s="4" t="inlineStr">
        <is>
          <t>e002 raw</t>
        </is>
      </c>
      <c r="C9" s="4" t="n">
        <v>218992</v>
      </c>
      <c r="D9" s="4" t="inlineStr">
        <is>
          <t>/work/austinhpc25/hipac26-qe-runs/sweeps/g4x/type-b/B1-si1000-gamma/e002-single-node-refinement/job-218992/raw-verification-v2</t>
        </is>
      </c>
      <c r="E9" s="4" t="inlineStr">
        <is>
          <t>PASS</t>
        </is>
      </c>
      <c r="F9" s="4" t="inlineStr">
        <is>
          <t>raw-verification-v2</t>
        </is>
      </c>
      <c r="G9" s="4" t="inlineStr">
        <is>
          <t>single-node refinement</t>
        </is>
      </c>
    </row>
    <row r="10">
      <c r="A10" s="4" t="inlineStr">
        <is>
          <t>Type B</t>
        </is>
      </c>
      <c r="B10" s="4" t="inlineStr">
        <is>
          <t>e003 raw</t>
        </is>
      </c>
      <c r="C10" s="4" t="n">
        <v>219031</v>
      </c>
      <c r="D10" s="4" t="inlineStr">
        <is>
          <t>/work/austinhpc25/hipac26-qe-runs/sweeps/g4x/type-b/B1-si1000-gamma/e003-single-node-confirmation/job-219031/raw-verification-v2</t>
        </is>
      </c>
      <c r="E10" s="4" t="inlineStr">
        <is>
          <t>PASS</t>
        </is>
      </c>
      <c r="F10" s="4" t="inlineStr">
        <is>
          <t>raw-verification-v2</t>
        </is>
      </c>
      <c r="G10" s="4" t="inlineStr">
        <is>
          <t>independent confirmation</t>
        </is>
      </c>
    </row>
    <row r="11">
      <c r="A11" s="4" t="inlineStr">
        <is>
          <t>Type B</t>
        </is>
      </c>
      <c r="B11" s="4" t="inlineStr">
        <is>
          <t>e004 raw</t>
        </is>
      </c>
      <c r="C11" s="4" t="n">
        <v>219063</v>
      </c>
      <c r="D11" s="4" t="inlineStr">
        <is>
          <t>/work/austinhpc25/hipac26-qe-runs/sweeps/g4x/type-b/B1-si1000-gamma/e004-node-boundary-confirmation/job-219063/raw-verification-v2</t>
        </is>
      </c>
      <c r="E11" s="4" t="inlineStr">
        <is>
          <t>PASS</t>
        </is>
      </c>
      <c r="F11" s="4" t="inlineStr">
        <is>
          <t>raw-verification-v2</t>
        </is>
      </c>
      <c r="G11" s="4" t="inlineStr">
        <is>
          <t>node-boundary confirmation</t>
        </is>
      </c>
    </row>
    <row r="12">
      <c r="A12" s="4" t="inlineStr">
        <is>
          <t>Handoff</t>
        </is>
      </c>
      <c r="B12" s="4" t="inlineStr">
        <is>
          <t>20260729 snapshot</t>
        </is>
      </c>
      <c r="C12" s="4" t="inlineStr">
        <is>
          <t>current</t>
        </is>
      </c>
      <c r="D12" s="4" t="inlineStr">
        <is>
          <t>docs/handoffs/20260729</t>
        </is>
      </c>
      <c r="E12" s="4" t="inlineStr">
        <is>
          <t>GENERATED</t>
        </is>
      </c>
      <c r="F12" s="4" t="inlineStr">
        <is>
          <t>Git/package</t>
        </is>
      </c>
      <c r="G12" s="4" t="inlineStr">
        <is>
          <t>reporting layer</t>
        </is>
      </c>
    </row>
  </sheetData>
  <autoFilter ref="A4:G12"/>
  <mergeCells count="2">
    <mergeCell ref="A2:G2"/>
    <mergeCell ref="A1:G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2026-07-29T19:58:43Z</dcterms:created>
  <dcterms:modified xsi:type="dcterms:W3CDTF">2026-07-29T19:58:43Z</dcterms:modified>
</cp:coreProperties>
</file>